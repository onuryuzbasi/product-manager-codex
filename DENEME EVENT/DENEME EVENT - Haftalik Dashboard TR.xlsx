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vent_Girdi" sheetId="1" r:id="rId1"/>
    <sheet name="Hafta_Ozet" sheetId="2" r:id="rId2"/>
    <sheet name="Dashboard" sheetId="3" r:id="r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H60"/>
  <sheetData>
    <row r="1">
      <c r="A1" t="inlineStr">
        <is>
          <t>Event_ID</t>
        </is>
      </c>
      <c r="B1" t="inlineStr">
        <is>
          <t>Event_Adi</t>
        </is>
      </c>
      <c r="C1" t="inlineStr">
        <is>
          <t>Baslangic</t>
        </is>
      </c>
      <c r="D1" t="inlineStr">
        <is>
          <t>Bitis</t>
        </is>
      </c>
      <c r="E1" t="inlineStr">
        <is>
          <t>Priority</t>
        </is>
      </c>
      <c r="F1" t="inlineStr">
        <is>
          <t>Deeplink_Pinned</t>
        </is>
      </c>
      <c r="G1" t="inlineStr">
        <is>
          <t>Aktif_mi</t>
        </is>
      </c>
      <c r="H1" t="inlineStr">
        <is>
          <t>Deeplink_Sira</t>
        </is>
      </c>
    </row>
    <row r="2">
      <c r="A2" t="inlineStr">
        <is>
          <t>E_DL</t>
        </is>
      </c>
      <c r="B2" t="inlineStr">
        <is>
          <t>Deeplink Decor</t>
        </is>
      </c>
      <c r="C2" s="1">
        <v>45992</v>
      </c>
      <c r="D2" s="1">
        <v>46037</v>
      </c>
      <c r="E2">
        <v>99</v>
      </c>
      <c r="F2" t="inlineStr">
        <is>
          <t>Evet</t>
        </is>
      </c>
      <c r="G2" t="inlineStr">
        <is>
          <t>Evet</t>
        </is>
      </c>
      <c r="H2">
        <f>IF(F2="Evet";0;1)</f>
      </c>
    </row>
    <row r="3">
      <c r="A3" t="inlineStr">
        <is>
          <t>E_TG</t>
        </is>
      </c>
      <c r="B3" t="inlineStr">
        <is>
          <t>Thanksgiving</t>
        </is>
      </c>
      <c r="C3" s="1">
        <v>46006</v>
      </c>
      <c r="D3" s="1">
        <v>46016</v>
      </c>
      <c r="E3">
        <v>1</v>
      </c>
      <c r="F3" t="inlineStr">
        <is>
          <t>Hayir</t>
        </is>
      </c>
      <c r="G3" t="inlineStr">
        <is>
          <t>Evet</t>
        </is>
      </c>
      <c r="H3">
        <f>IF(F3="Evet";0;1)</f>
      </c>
    </row>
    <row r="4">
      <c r="A4" t="inlineStr">
        <is>
          <t>E_XMAS</t>
        </is>
      </c>
      <c r="B4" t="inlineStr">
        <is>
          <t>Christmas</t>
        </is>
      </c>
      <c r="C4" s="1">
        <v>45992</v>
      </c>
      <c r="D4" s="1">
        <v>46022</v>
      </c>
      <c r="E4">
        <v>2</v>
      </c>
      <c r="F4" t="inlineStr">
        <is>
          <t>Hayir</t>
        </is>
      </c>
      <c r="G4" t="inlineStr">
        <is>
          <t>Evet</t>
        </is>
      </c>
      <c r="H4">
        <f>IF(F4="Evet";0;1)</f>
      </c>
    </row>
    <row r="5">
      <c r="A5" t="inlineStr">
        <is>
          <t>E_UA_JAN</t>
        </is>
      </c>
      <c r="B5" t="inlineStr">
        <is>
          <t>UA Decor Jan</t>
        </is>
      </c>
      <c r="C5" s="1">
        <v>46023</v>
      </c>
      <c r="D5" s="1">
        <v>46032</v>
      </c>
      <c r="E5">
        <v>5</v>
      </c>
      <c r="F5" t="inlineStr">
        <is>
          <t>Hayir</t>
        </is>
      </c>
      <c r="G5" t="inlineStr">
        <is>
          <t>Evet</t>
        </is>
      </c>
      <c r="H5">
        <f>IF(F5="Evet";0;1)</f>
      </c>
    </row>
    <row r="6">
      <c r="H6">
        <f>IF(F6="";"";IF(F6="Evet";0;1))</f>
      </c>
    </row>
    <row r="7">
      <c r="H7">
        <f>IF(F7="";"";IF(F7="Evet";0;1))</f>
      </c>
    </row>
    <row r="8">
      <c r="H8">
        <f>IF(F8="";"";IF(F8="Evet";0;1))</f>
      </c>
    </row>
    <row r="9">
      <c r="H9">
        <f>IF(F9="";"";IF(F9="Evet";0;1))</f>
      </c>
    </row>
    <row r="10">
      <c r="H10">
        <f>IF(F10="";"";IF(F10="Evet";0;1))</f>
      </c>
    </row>
    <row r="11">
      <c r="H11">
        <f>IF(F11="";"";IF(F11="Evet";0;1))</f>
      </c>
    </row>
    <row r="12">
      <c r="H12">
        <f>IF(F12="";"";IF(F12="Evet";0;1))</f>
      </c>
    </row>
    <row r="13">
      <c r="H13">
        <f>IF(F13="";"";IF(F13="Evet";0;1))</f>
      </c>
    </row>
    <row r="14">
      <c r="H14">
        <f>IF(F14="";"";IF(F14="Evet";0;1))</f>
      </c>
    </row>
    <row r="15">
      <c r="H15">
        <f>IF(F15="";"";IF(F15="Evet";0;1))</f>
      </c>
    </row>
    <row r="16">
      <c r="H16">
        <f>IF(F16="";"";IF(F16="Evet";0;1))</f>
      </c>
    </row>
    <row r="17">
      <c r="H17">
        <f>IF(F17="";"";IF(F17="Evet";0;1))</f>
      </c>
    </row>
    <row r="18">
      <c r="H18">
        <f>IF(F18="";"";IF(F18="Evet";0;1))</f>
      </c>
    </row>
    <row r="19">
      <c r="H19">
        <f>IF(F19="";"";IF(F19="Evet";0;1))</f>
      </c>
    </row>
    <row r="20">
      <c r="H20">
        <f>IF(F20="";"";IF(F20="Evet";0;1))</f>
      </c>
    </row>
    <row r="21">
      <c r="H21">
        <f>IF(F21="";"";IF(F21="Evet";0;1))</f>
      </c>
    </row>
    <row r="22">
      <c r="H22">
        <f>IF(F22="";"";IF(F22="Evet";0;1))</f>
      </c>
    </row>
    <row r="23">
      <c r="H23">
        <f>IF(F23="";"";IF(F23="Evet";0;1))</f>
      </c>
    </row>
    <row r="24">
      <c r="H24">
        <f>IF(F24="";"";IF(F24="Evet";0;1))</f>
      </c>
    </row>
    <row r="25">
      <c r="H25">
        <f>IF(F25="";"";IF(F25="Evet";0;1))</f>
      </c>
    </row>
    <row r="26">
      <c r="H26">
        <f>IF(F26="";"";IF(F26="Evet";0;1))</f>
      </c>
    </row>
    <row r="27">
      <c r="H27">
        <f>IF(F27="";"";IF(F27="Evet";0;1))</f>
      </c>
    </row>
    <row r="28">
      <c r="H28">
        <f>IF(F28="";"";IF(F28="Evet";0;1))</f>
      </c>
    </row>
    <row r="29">
      <c r="H29">
        <f>IF(F29="";"";IF(F29="Evet";0;1))</f>
      </c>
    </row>
    <row r="30">
      <c r="H30">
        <f>IF(F30="";"";IF(F30="Evet";0;1))</f>
      </c>
    </row>
    <row r="31">
      <c r="H31">
        <f>IF(F31="";"";IF(F31="Evet";0;1))</f>
      </c>
    </row>
    <row r="32">
      <c r="H32">
        <f>IF(F32="";"";IF(F32="Evet";0;1))</f>
      </c>
    </row>
    <row r="33">
      <c r="H33">
        <f>IF(F33="";"";IF(F33="Evet";0;1))</f>
      </c>
    </row>
    <row r="34">
      <c r="H34">
        <f>IF(F34="";"";IF(F34="Evet";0;1))</f>
      </c>
    </row>
    <row r="35">
      <c r="H35">
        <f>IF(F35="";"";IF(F35="Evet";0;1))</f>
      </c>
    </row>
    <row r="36">
      <c r="H36">
        <f>IF(F36="";"";IF(F36="Evet";0;1))</f>
      </c>
    </row>
    <row r="37">
      <c r="H37">
        <f>IF(F37="";"";IF(F37="Evet";0;1))</f>
      </c>
    </row>
    <row r="38">
      <c r="H38">
        <f>IF(F38="";"";IF(F38="Evet";0;1))</f>
      </c>
    </row>
    <row r="39">
      <c r="H39">
        <f>IF(F39="";"";IF(F39="Evet";0;1))</f>
      </c>
    </row>
    <row r="40">
      <c r="H40">
        <f>IF(F40="";"";IF(F40="Evet";0;1))</f>
      </c>
    </row>
    <row r="41">
      <c r="H41">
        <f>IF(F41="";"";IF(F41="Evet";0;1))</f>
      </c>
    </row>
    <row r="42">
      <c r="H42">
        <f>IF(F42="";"";IF(F42="Evet";0;1))</f>
      </c>
    </row>
    <row r="43">
      <c r="H43">
        <f>IF(F43="";"";IF(F43="Evet";0;1))</f>
      </c>
    </row>
    <row r="44">
      <c r="H44">
        <f>IF(F44="";"";IF(F44="Evet";0;1))</f>
      </c>
    </row>
    <row r="45">
      <c r="H45">
        <f>IF(F45="";"";IF(F45="Evet";0;1))</f>
      </c>
    </row>
    <row r="46">
      <c r="H46">
        <f>IF(F46="";"";IF(F46="Evet";0;1))</f>
      </c>
    </row>
    <row r="47">
      <c r="H47">
        <f>IF(F47="";"";IF(F47="Evet";0;1))</f>
      </c>
    </row>
    <row r="48">
      <c r="H48">
        <f>IF(F48="";"";IF(F48="Evet";0;1))</f>
      </c>
    </row>
    <row r="49">
      <c r="H49">
        <f>IF(F49="";"";IF(F49="Evet";0;1))</f>
      </c>
    </row>
    <row r="50">
      <c r="H50">
        <f>IF(F50="";"";IF(F50="Evet";0;1))</f>
      </c>
    </row>
    <row r="51">
      <c r="H51">
        <f>IF(F51="";"";IF(F51="Evet";0;1))</f>
      </c>
    </row>
    <row r="52">
      <c r="H52">
        <f>IF(F52="";"";IF(F52="Evet";0;1))</f>
      </c>
    </row>
    <row r="53">
      <c r="H53">
        <f>IF(F53="";"";IF(F53="Evet";0;1))</f>
      </c>
    </row>
    <row r="54">
      <c r="H54">
        <f>IF(F54="";"";IF(F54="Evet";0;1))</f>
      </c>
    </row>
    <row r="55">
      <c r="H55">
        <f>IF(F55="";"";IF(F55="Evet";0;1))</f>
      </c>
    </row>
    <row r="56">
      <c r="H56">
        <f>IF(F56="";"";IF(F56="Evet";0;1))</f>
      </c>
    </row>
    <row r="57">
      <c r="H57">
        <f>IF(F57="";"";IF(F57="Evet";0;1))</f>
      </c>
    </row>
    <row r="58">
      <c r="H58">
        <f>IF(F58="";"";IF(F58="Evet";0;1))</f>
      </c>
    </row>
    <row r="59">
      <c r="H59">
        <f>IF(F59="";"";IF(F59="Evet";0;1))</f>
      </c>
    </row>
    <row r="60">
      <c r="H60">
        <f>IF(F60="";"";IF(F60="Evet";0;1))</f>
      </c>
    </row>
  </sheetData>
</worksheet>
</file>

<file path=xl/worksheets/sheet2.xml><?xml version="1.0" encoding="utf-8"?>
<worksheet xmlns="http://schemas.openxmlformats.org/spreadsheetml/2006/main">
  <dimension ref="A1:J31"/>
  <sheetData>
    <row r="1">
      <c r="A1" t="inlineStr">
        <is>
          <t>Hafta_No</t>
        </is>
      </c>
      <c r="B1" t="inlineStr">
        <is>
          <t>Hafta_Baslangic</t>
        </is>
      </c>
      <c r="C1" t="inlineStr">
        <is>
          <t>Hafta_Bitis</t>
        </is>
      </c>
      <c r="D1" t="inlineStr">
        <is>
          <t>Tarih_Araligi</t>
        </is>
      </c>
      <c r="E1" t="inlineStr">
        <is>
          <t>Aktif_Eventler</t>
        </is>
      </c>
      <c r="F1" t="inlineStr">
        <is>
          <t>Cakisma_Max</t>
        </is>
      </c>
      <c r="G1" t="inlineStr">
        <is>
          <t>Winner_Organik</t>
        </is>
      </c>
      <c r="H1" t="inlineStr">
        <is>
          <t>Winner_Deeplink</t>
        </is>
      </c>
      <c r="I1" t="inlineStr">
        <is>
          <t>Queue_Hafta_Basi</t>
        </is>
      </c>
      <c r="J1" t="inlineStr">
        <is>
          <t>Durum</t>
        </is>
      </c>
    </row>
    <row r="2">
      <c r="A2">
        <f>IF(B2="";"";"W"&amp;(ROW()-1))</f>
      </c>
      <c r="B2" s="1">
        <f>IFERROR(MIN(FILTER(Event_Girdi!$C$2:$C;Event_Girdi!$G$2:$G="Evet"))-WEEKDAY(MIN(FILTER(Event_Girdi!$C$2:$C;Event_Girdi!$G$2:$G="Evet"));2)+1;"")</f>
      </c>
      <c r="C2" s="1">
        <f>IF(B2="";"";B2+6)</f>
      </c>
      <c r="D2">
        <f>IF(B2="";"";TEXT(B2;"dd mmm")&amp;" - "&amp;TEXT(C2;"dd mmm"))</f>
      </c>
      <c r="E2">
        <f>IF(B2="";"";IFERROR(TEXTJOIN("; ";TRUE;FILTER(Event_Girdi!$A$2:$A;Event_Girdi!$G$2:$G="Evet";Event_Girdi!$C$2:$C&lt;=C2;Event_Girdi!$D$2:$D&gt;=B2));""))</f>
      </c>
      <c r="F2">
        <f>IF(B2="";"";MAX(COUNTIFS(Event_Girdi!$C$2:$C;"&lt;="&amp;B2;Event_Girdi!$D$2:$D;"&gt;="&amp;B2;Event_Girdi!$G$2:$G;"Evet");COUNTIFS(Event_Girdi!$C$2:$C;"&lt;="&amp;B2+1;Event_Girdi!$D$2:$D;"&gt;="&amp;B2+1;Event_Girdi!$G$2:$G;"Evet");COUNTIFS(Event_Girdi!$C$2:$C;"&lt;="&amp;B2+2;Event_Girdi!$D$2:$D;"&gt;="&amp;B2+2;Event_Girdi!$G$2:$G;"Evet");COUNTIFS(Event_Girdi!$C$2:$C;"&lt;="&amp;B2+3;Event_Girdi!$D$2:$D;"&gt;="&amp;B2+3;Event_Girdi!$G$2:$G;"Evet");COUNTIFS(Event_Girdi!$C$2:$C;"&lt;="&amp;B2+4;Event_Girdi!$D$2:$D;"&gt;="&amp;B2+4;Event_Girdi!$G$2:$G;"Evet");COUNTIFS(Event_Girdi!$C$2:$C;"&lt;="&amp;B2+5;Event_Girdi!$D$2:$D;"&gt;="&amp;B2+5;Event_Girdi!$G$2:$G;"Evet");COUNTIFS(Event_Girdi!$C$2:$C;"&lt;="&amp;B2+6;Event_Girdi!$D$2:$D;"&gt;="&amp;B2+6;Event_Girdi!$G$2:$G;"Evet")))</f>
      </c>
      <c r="G2">
        <f>IF(B2="";"";IFERROR(INDEX(SORT(FILTER(Event_Girdi!$A$2:$E;Event_Girdi!$G$2:$G="Evet";Event_Girdi!$C$2:$C&lt;=B2;Event_Girdi!$D$2:$D&gt;=B2);5;TRUE;3;TRUE;1;TRUE);1;1);""))</f>
      </c>
      <c r="H2">
        <f>IF(B2="";"";IFERROR(INDEX(SORT(FILTER(Event_Girdi!$A$2:$F;Event_Girdi!$G$2:$G="Evet";Event_Girdi!$F$2:$F="Evet";Event_Girdi!$C$2:$C&lt;=B2;Event_Girdi!$D$2:$D&gt;=B2);3;TRUE;1;TRUE);1;1);G2))</f>
      </c>
      <c r="I2">
        <f>IF(B2="";"";IFERROR(TEXTJOIN(" &gt; ";TRUE;INDEX(SORT(FILTER(Event_Girdi!$A$2:$H;Event_Girdi!$G$2:$G="Evet";Event_Girdi!$C$2:$C&lt;=B2;Event_Girdi!$D$2:$D&gt;=B2);8;TRUE;5;TRUE;3;TRUE;1;TRUE);;1));""))</f>
      </c>
      <c r="J2">
        <f>IF(B2="";"";IF(F2&gt;1;"Cakisiyor";"Normal"))</f>
      </c>
    </row>
    <row r="3">
      <c r="A3">
        <f>IF(B3="";"";"W"&amp;(ROW()-1))</f>
      </c>
      <c r="B3" s="1">
        <f>IF(B2="";"";IF(B2+7&lt;=MAX(FILTER(Event_Girdi!$D$2:$D;Event_Girdi!$G$2:$G="Evet"))+6;B2+7;""))</f>
      </c>
      <c r="C3" s="1">
        <f>IF(B3="";"";B3+6)</f>
      </c>
      <c r="D3">
        <f>IF(B3="";"";TEXT(B3;"dd mmm")&amp;" - "&amp;TEXT(C3;"dd mmm"))</f>
      </c>
      <c r="E3">
        <f>IF(B3="";"";IFERROR(TEXTJOIN("; ";TRUE;FILTER(Event_Girdi!$A$2:$A;Event_Girdi!$G$2:$G="Evet";Event_Girdi!$C$2:$C&lt;=C3;Event_Girdi!$D$2:$D&gt;=B3));""))</f>
      </c>
      <c r="F3">
        <f>IF(B3="";"";MAX(COUNTIFS(Event_Girdi!$C$2:$C;"&lt;="&amp;B3;Event_Girdi!$D$2:$D;"&gt;="&amp;B3;Event_Girdi!$G$2:$G;"Evet");COUNTIFS(Event_Girdi!$C$2:$C;"&lt;="&amp;B3+1;Event_Girdi!$D$2:$D;"&gt;="&amp;B3+1;Event_Girdi!$G$2:$G;"Evet");COUNTIFS(Event_Girdi!$C$2:$C;"&lt;="&amp;B3+2;Event_Girdi!$D$2:$D;"&gt;="&amp;B3+2;Event_Girdi!$G$2:$G;"Evet");COUNTIFS(Event_Girdi!$C$2:$C;"&lt;="&amp;B3+3;Event_Girdi!$D$2:$D;"&gt;="&amp;B3+3;Event_Girdi!$G$2:$G;"Evet");COUNTIFS(Event_Girdi!$C$2:$C;"&lt;="&amp;B3+4;Event_Girdi!$D$2:$D;"&gt;="&amp;B3+4;Event_Girdi!$G$2:$G;"Evet");COUNTIFS(Event_Girdi!$C$2:$C;"&lt;="&amp;B3+5;Event_Girdi!$D$2:$D;"&gt;="&amp;B3+5;Event_Girdi!$G$2:$G;"Evet");COUNTIFS(Event_Girdi!$C$2:$C;"&lt;="&amp;B3+6;Event_Girdi!$D$2:$D;"&gt;="&amp;B3+6;Event_Girdi!$G$2:$G;"Evet")))</f>
      </c>
      <c r="G3">
        <f>IF(B3="";"";IFERROR(INDEX(SORT(FILTER(Event_Girdi!$A$2:$E;Event_Girdi!$G$2:$G="Evet";Event_Girdi!$C$2:$C&lt;=B3;Event_Girdi!$D$2:$D&gt;=B3);5;TRUE;3;TRUE;1;TRUE);1;1);""))</f>
      </c>
      <c r="H3">
        <f>IF(B3="";"";IFERROR(INDEX(SORT(FILTER(Event_Girdi!$A$2:$F;Event_Girdi!$G$2:$G="Evet";Event_Girdi!$F$2:$F="Evet";Event_Girdi!$C$2:$C&lt;=B3;Event_Girdi!$D$2:$D&gt;=B3);3;TRUE;1;TRUE);1;1);G3))</f>
      </c>
      <c r="I3">
        <f>IF(B3="";"";IFERROR(TEXTJOIN(" &gt; ";TRUE;INDEX(SORT(FILTER(Event_Girdi!$A$2:$H;Event_Girdi!$G$2:$G="Evet";Event_Girdi!$C$2:$C&lt;=B3;Event_Girdi!$D$2:$D&gt;=B3);8;TRUE;5;TRUE;3;TRUE;1;TRUE);;1));""))</f>
      </c>
      <c r="J3">
        <f>IF(B3="";"";IF(F3&gt;1;"Cakisiyor";"Normal"))</f>
      </c>
    </row>
    <row r="4">
      <c r="A4">
        <f>IF(B4="";"";"W"&amp;(ROW()-1))</f>
      </c>
      <c r="B4" s="1">
        <f>IF(B3="";"";IF(B3+7&lt;=MAX(FILTER(Event_Girdi!$D$2:$D;Event_Girdi!$G$2:$G="Evet"))+6;B3+7;""))</f>
      </c>
      <c r="C4" s="1">
        <f>IF(B4="";"";B4+6)</f>
      </c>
      <c r="D4">
        <f>IF(B4="";"";TEXT(B4;"dd mmm")&amp;" - "&amp;TEXT(C4;"dd mmm"))</f>
      </c>
      <c r="E4">
        <f>IF(B4="";"";IFERROR(TEXTJOIN("; ";TRUE;FILTER(Event_Girdi!$A$2:$A;Event_Girdi!$G$2:$G="Evet";Event_Girdi!$C$2:$C&lt;=C4;Event_Girdi!$D$2:$D&gt;=B4));""))</f>
      </c>
      <c r="F4">
        <f>IF(B4="";"";MAX(COUNTIFS(Event_Girdi!$C$2:$C;"&lt;="&amp;B4;Event_Girdi!$D$2:$D;"&gt;="&amp;B4;Event_Girdi!$G$2:$G;"Evet");COUNTIFS(Event_Girdi!$C$2:$C;"&lt;="&amp;B4+1;Event_Girdi!$D$2:$D;"&gt;="&amp;B4+1;Event_Girdi!$G$2:$G;"Evet");COUNTIFS(Event_Girdi!$C$2:$C;"&lt;="&amp;B4+2;Event_Girdi!$D$2:$D;"&gt;="&amp;B4+2;Event_Girdi!$G$2:$G;"Evet");COUNTIFS(Event_Girdi!$C$2:$C;"&lt;="&amp;B4+3;Event_Girdi!$D$2:$D;"&gt;="&amp;B4+3;Event_Girdi!$G$2:$G;"Evet");COUNTIFS(Event_Girdi!$C$2:$C;"&lt;="&amp;B4+4;Event_Girdi!$D$2:$D;"&gt;="&amp;B4+4;Event_Girdi!$G$2:$G;"Evet");COUNTIFS(Event_Girdi!$C$2:$C;"&lt;="&amp;B4+5;Event_Girdi!$D$2:$D;"&gt;="&amp;B4+5;Event_Girdi!$G$2:$G;"Evet");COUNTIFS(Event_Girdi!$C$2:$C;"&lt;="&amp;B4+6;Event_Girdi!$D$2:$D;"&gt;="&amp;B4+6;Event_Girdi!$G$2:$G;"Evet")))</f>
      </c>
      <c r="G4">
        <f>IF(B4="";"";IFERROR(INDEX(SORT(FILTER(Event_Girdi!$A$2:$E;Event_Girdi!$G$2:$G="Evet";Event_Girdi!$C$2:$C&lt;=B4;Event_Girdi!$D$2:$D&gt;=B4);5;TRUE;3;TRUE;1;TRUE);1;1);""))</f>
      </c>
      <c r="H4">
        <f>IF(B4="";"";IFERROR(INDEX(SORT(FILTER(Event_Girdi!$A$2:$F;Event_Girdi!$G$2:$G="Evet";Event_Girdi!$F$2:$F="Evet";Event_Girdi!$C$2:$C&lt;=B4;Event_Girdi!$D$2:$D&gt;=B4);3;TRUE;1;TRUE);1;1);G4))</f>
      </c>
      <c r="I4">
        <f>IF(B4="";"";IFERROR(TEXTJOIN(" &gt; ";TRUE;INDEX(SORT(FILTER(Event_Girdi!$A$2:$H;Event_Girdi!$G$2:$G="Evet";Event_Girdi!$C$2:$C&lt;=B4;Event_Girdi!$D$2:$D&gt;=B4);8;TRUE;5;TRUE;3;TRUE;1;TRUE);;1));""))</f>
      </c>
      <c r="J4">
        <f>IF(B4="";"";IF(F4&gt;1;"Cakisiyor";"Normal"))</f>
      </c>
    </row>
    <row r="5">
      <c r="A5">
        <f>IF(B5="";"";"W"&amp;(ROW()-1))</f>
      </c>
      <c r="B5" s="1">
        <f>IF(B4="";"";IF(B4+7&lt;=MAX(FILTER(Event_Girdi!$D$2:$D;Event_Girdi!$G$2:$G="Evet"))+6;B4+7;""))</f>
      </c>
      <c r="C5" s="1">
        <f>IF(B5="";"";B5+6)</f>
      </c>
      <c r="D5">
        <f>IF(B5="";"";TEXT(B5;"dd mmm")&amp;" - "&amp;TEXT(C5;"dd mmm"))</f>
      </c>
      <c r="E5">
        <f>IF(B5="";"";IFERROR(TEXTJOIN("; ";TRUE;FILTER(Event_Girdi!$A$2:$A;Event_Girdi!$G$2:$G="Evet";Event_Girdi!$C$2:$C&lt;=C5;Event_Girdi!$D$2:$D&gt;=B5));""))</f>
      </c>
      <c r="F5">
        <f>IF(B5="";"";MAX(COUNTIFS(Event_Girdi!$C$2:$C;"&lt;="&amp;B5;Event_Girdi!$D$2:$D;"&gt;="&amp;B5;Event_Girdi!$G$2:$G;"Evet");COUNTIFS(Event_Girdi!$C$2:$C;"&lt;="&amp;B5+1;Event_Girdi!$D$2:$D;"&gt;="&amp;B5+1;Event_Girdi!$G$2:$G;"Evet");COUNTIFS(Event_Girdi!$C$2:$C;"&lt;="&amp;B5+2;Event_Girdi!$D$2:$D;"&gt;="&amp;B5+2;Event_Girdi!$G$2:$G;"Evet");COUNTIFS(Event_Girdi!$C$2:$C;"&lt;="&amp;B5+3;Event_Girdi!$D$2:$D;"&gt;="&amp;B5+3;Event_Girdi!$G$2:$G;"Evet");COUNTIFS(Event_Girdi!$C$2:$C;"&lt;="&amp;B5+4;Event_Girdi!$D$2:$D;"&gt;="&amp;B5+4;Event_Girdi!$G$2:$G;"Evet");COUNTIFS(Event_Girdi!$C$2:$C;"&lt;="&amp;B5+5;Event_Girdi!$D$2:$D;"&gt;="&amp;B5+5;Event_Girdi!$G$2:$G;"Evet");COUNTIFS(Event_Girdi!$C$2:$C;"&lt;="&amp;B5+6;Event_Girdi!$D$2:$D;"&gt;="&amp;B5+6;Event_Girdi!$G$2:$G;"Evet")))</f>
      </c>
      <c r="G5">
        <f>IF(B5="";"";IFERROR(INDEX(SORT(FILTER(Event_Girdi!$A$2:$E;Event_Girdi!$G$2:$G="Evet";Event_Girdi!$C$2:$C&lt;=B5;Event_Girdi!$D$2:$D&gt;=B5);5;TRUE;3;TRUE;1;TRUE);1;1);""))</f>
      </c>
      <c r="H5">
        <f>IF(B5="";"";IFERROR(INDEX(SORT(FILTER(Event_Girdi!$A$2:$F;Event_Girdi!$G$2:$G="Evet";Event_Girdi!$F$2:$F="Evet";Event_Girdi!$C$2:$C&lt;=B5;Event_Girdi!$D$2:$D&gt;=B5);3;TRUE;1;TRUE);1;1);G5))</f>
      </c>
      <c r="I5">
        <f>IF(B5="";"";IFERROR(TEXTJOIN(" &gt; ";TRUE;INDEX(SORT(FILTER(Event_Girdi!$A$2:$H;Event_Girdi!$G$2:$G="Evet";Event_Girdi!$C$2:$C&lt;=B5;Event_Girdi!$D$2:$D&gt;=B5);8;TRUE;5;TRUE;3;TRUE;1;TRUE);;1));""))</f>
      </c>
      <c r="J5">
        <f>IF(B5="";"";IF(F5&gt;1;"Cakisiyor";"Normal"))</f>
      </c>
    </row>
    <row r="6">
      <c r="A6">
        <f>IF(B6="";"";"W"&amp;(ROW()-1))</f>
      </c>
      <c r="B6" s="1">
        <f>IF(B5="";"";IF(B5+7&lt;=MAX(FILTER(Event_Girdi!$D$2:$D;Event_Girdi!$G$2:$G="Evet"))+6;B5+7;""))</f>
      </c>
      <c r="C6" s="1">
        <f>IF(B6="";"";B6+6)</f>
      </c>
      <c r="D6">
        <f>IF(B6="";"";TEXT(B6;"dd mmm")&amp;" - "&amp;TEXT(C6;"dd mmm"))</f>
      </c>
      <c r="E6">
        <f>IF(B6="";"";IFERROR(TEXTJOIN("; ";TRUE;FILTER(Event_Girdi!$A$2:$A;Event_Girdi!$G$2:$G="Evet";Event_Girdi!$C$2:$C&lt;=C6;Event_Girdi!$D$2:$D&gt;=B6));""))</f>
      </c>
      <c r="F6">
        <f>IF(B6="";"";MAX(COUNTIFS(Event_Girdi!$C$2:$C;"&lt;="&amp;B6;Event_Girdi!$D$2:$D;"&gt;="&amp;B6;Event_Girdi!$G$2:$G;"Evet");COUNTIFS(Event_Girdi!$C$2:$C;"&lt;="&amp;B6+1;Event_Girdi!$D$2:$D;"&gt;="&amp;B6+1;Event_Girdi!$G$2:$G;"Evet");COUNTIFS(Event_Girdi!$C$2:$C;"&lt;="&amp;B6+2;Event_Girdi!$D$2:$D;"&gt;="&amp;B6+2;Event_Girdi!$G$2:$G;"Evet");COUNTIFS(Event_Girdi!$C$2:$C;"&lt;="&amp;B6+3;Event_Girdi!$D$2:$D;"&gt;="&amp;B6+3;Event_Girdi!$G$2:$G;"Evet");COUNTIFS(Event_Girdi!$C$2:$C;"&lt;="&amp;B6+4;Event_Girdi!$D$2:$D;"&gt;="&amp;B6+4;Event_Girdi!$G$2:$G;"Evet");COUNTIFS(Event_Girdi!$C$2:$C;"&lt;="&amp;B6+5;Event_Girdi!$D$2:$D;"&gt;="&amp;B6+5;Event_Girdi!$G$2:$G;"Evet");COUNTIFS(Event_Girdi!$C$2:$C;"&lt;="&amp;B6+6;Event_Girdi!$D$2:$D;"&gt;="&amp;B6+6;Event_Girdi!$G$2:$G;"Evet")))</f>
      </c>
      <c r="G6">
        <f>IF(B6="";"";IFERROR(INDEX(SORT(FILTER(Event_Girdi!$A$2:$E;Event_Girdi!$G$2:$G="Evet";Event_Girdi!$C$2:$C&lt;=B6;Event_Girdi!$D$2:$D&gt;=B6);5;TRUE;3;TRUE;1;TRUE);1;1);""))</f>
      </c>
      <c r="H6">
        <f>IF(B6="";"";IFERROR(INDEX(SORT(FILTER(Event_Girdi!$A$2:$F;Event_Girdi!$G$2:$G="Evet";Event_Girdi!$F$2:$F="Evet";Event_Girdi!$C$2:$C&lt;=B6;Event_Girdi!$D$2:$D&gt;=B6);3;TRUE;1;TRUE);1;1);G6))</f>
      </c>
      <c r="I6">
        <f>IF(B6="";"";IFERROR(TEXTJOIN(" &gt; ";TRUE;INDEX(SORT(FILTER(Event_Girdi!$A$2:$H;Event_Girdi!$G$2:$G="Evet";Event_Girdi!$C$2:$C&lt;=B6;Event_Girdi!$D$2:$D&gt;=B6);8;TRUE;5;TRUE;3;TRUE;1;TRUE);;1));""))</f>
      </c>
      <c r="J6">
        <f>IF(B6="";"";IF(F6&gt;1;"Cakisiyor";"Normal"))</f>
      </c>
    </row>
    <row r="7">
      <c r="A7">
        <f>IF(B7="";"";"W"&amp;(ROW()-1))</f>
      </c>
      <c r="B7" s="1">
        <f>IF(B6="";"";IF(B6+7&lt;=MAX(FILTER(Event_Girdi!$D$2:$D;Event_Girdi!$G$2:$G="Evet"))+6;B6+7;""))</f>
      </c>
      <c r="C7" s="1">
        <f>IF(B7="";"";B7+6)</f>
      </c>
      <c r="D7">
        <f>IF(B7="";"";TEXT(B7;"dd mmm")&amp;" - "&amp;TEXT(C7;"dd mmm"))</f>
      </c>
      <c r="E7">
        <f>IF(B7="";"";IFERROR(TEXTJOIN("; ";TRUE;FILTER(Event_Girdi!$A$2:$A;Event_Girdi!$G$2:$G="Evet";Event_Girdi!$C$2:$C&lt;=C7;Event_Girdi!$D$2:$D&gt;=B7));""))</f>
      </c>
      <c r="F7">
        <f>IF(B7="";"";MAX(COUNTIFS(Event_Girdi!$C$2:$C;"&lt;="&amp;B7;Event_Girdi!$D$2:$D;"&gt;="&amp;B7;Event_Girdi!$G$2:$G;"Evet");COUNTIFS(Event_Girdi!$C$2:$C;"&lt;="&amp;B7+1;Event_Girdi!$D$2:$D;"&gt;="&amp;B7+1;Event_Girdi!$G$2:$G;"Evet");COUNTIFS(Event_Girdi!$C$2:$C;"&lt;="&amp;B7+2;Event_Girdi!$D$2:$D;"&gt;="&amp;B7+2;Event_Girdi!$G$2:$G;"Evet");COUNTIFS(Event_Girdi!$C$2:$C;"&lt;="&amp;B7+3;Event_Girdi!$D$2:$D;"&gt;="&amp;B7+3;Event_Girdi!$G$2:$G;"Evet");COUNTIFS(Event_Girdi!$C$2:$C;"&lt;="&amp;B7+4;Event_Girdi!$D$2:$D;"&gt;="&amp;B7+4;Event_Girdi!$G$2:$G;"Evet");COUNTIFS(Event_Girdi!$C$2:$C;"&lt;="&amp;B7+5;Event_Girdi!$D$2:$D;"&gt;="&amp;B7+5;Event_Girdi!$G$2:$G;"Evet");COUNTIFS(Event_Girdi!$C$2:$C;"&lt;="&amp;B7+6;Event_Girdi!$D$2:$D;"&gt;="&amp;B7+6;Event_Girdi!$G$2:$G;"Evet")))</f>
      </c>
      <c r="G7">
        <f>IF(B7="";"";IFERROR(INDEX(SORT(FILTER(Event_Girdi!$A$2:$E;Event_Girdi!$G$2:$G="Evet";Event_Girdi!$C$2:$C&lt;=B7;Event_Girdi!$D$2:$D&gt;=B7);5;TRUE;3;TRUE;1;TRUE);1;1);""))</f>
      </c>
      <c r="H7">
        <f>IF(B7="";"";IFERROR(INDEX(SORT(FILTER(Event_Girdi!$A$2:$F;Event_Girdi!$G$2:$G="Evet";Event_Girdi!$F$2:$F="Evet";Event_Girdi!$C$2:$C&lt;=B7;Event_Girdi!$D$2:$D&gt;=B7);3;TRUE;1;TRUE);1;1);G7))</f>
      </c>
      <c r="I7">
        <f>IF(B7="";"";IFERROR(TEXTJOIN(" &gt; ";TRUE;INDEX(SORT(FILTER(Event_Girdi!$A$2:$H;Event_Girdi!$G$2:$G="Evet";Event_Girdi!$C$2:$C&lt;=B7;Event_Girdi!$D$2:$D&gt;=B7);8;TRUE;5;TRUE;3;TRUE;1;TRUE);;1));""))</f>
      </c>
      <c r="J7">
        <f>IF(B7="";"";IF(F7&gt;1;"Cakisiyor";"Normal"))</f>
      </c>
    </row>
    <row r="8">
      <c r="A8">
        <f>IF(B8="";"";"W"&amp;(ROW()-1))</f>
      </c>
      <c r="B8" s="1">
        <f>IF(B7="";"";IF(B7+7&lt;=MAX(FILTER(Event_Girdi!$D$2:$D;Event_Girdi!$G$2:$G="Evet"))+6;B7+7;""))</f>
      </c>
      <c r="C8" s="1">
        <f>IF(B8="";"";B8+6)</f>
      </c>
      <c r="D8">
        <f>IF(B8="";"";TEXT(B8;"dd mmm")&amp;" - "&amp;TEXT(C8;"dd mmm"))</f>
      </c>
      <c r="E8">
        <f>IF(B8="";"";IFERROR(TEXTJOIN("; ";TRUE;FILTER(Event_Girdi!$A$2:$A;Event_Girdi!$G$2:$G="Evet";Event_Girdi!$C$2:$C&lt;=C8;Event_Girdi!$D$2:$D&gt;=B8));""))</f>
      </c>
      <c r="F8">
        <f>IF(B8="";"";MAX(COUNTIFS(Event_Girdi!$C$2:$C;"&lt;="&amp;B8;Event_Girdi!$D$2:$D;"&gt;="&amp;B8;Event_Girdi!$G$2:$G;"Evet");COUNTIFS(Event_Girdi!$C$2:$C;"&lt;="&amp;B8+1;Event_Girdi!$D$2:$D;"&gt;="&amp;B8+1;Event_Girdi!$G$2:$G;"Evet");COUNTIFS(Event_Girdi!$C$2:$C;"&lt;="&amp;B8+2;Event_Girdi!$D$2:$D;"&gt;="&amp;B8+2;Event_Girdi!$G$2:$G;"Evet");COUNTIFS(Event_Girdi!$C$2:$C;"&lt;="&amp;B8+3;Event_Girdi!$D$2:$D;"&gt;="&amp;B8+3;Event_Girdi!$G$2:$G;"Evet");COUNTIFS(Event_Girdi!$C$2:$C;"&lt;="&amp;B8+4;Event_Girdi!$D$2:$D;"&gt;="&amp;B8+4;Event_Girdi!$G$2:$G;"Evet");COUNTIFS(Event_Girdi!$C$2:$C;"&lt;="&amp;B8+5;Event_Girdi!$D$2:$D;"&gt;="&amp;B8+5;Event_Girdi!$G$2:$G;"Evet");COUNTIFS(Event_Girdi!$C$2:$C;"&lt;="&amp;B8+6;Event_Girdi!$D$2:$D;"&gt;="&amp;B8+6;Event_Girdi!$G$2:$G;"Evet")))</f>
      </c>
      <c r="G8">
        <f>IF(B8="";"";IFERROR(INDEX(SORT(FILTER(Event_Girdi!$A$2:$E;Event_Girdi!$G$2:$G="Evet";Event_Girdi!$C$2:$C&lt;=B8;Event_Girdi!$D$2:$D&gt;=B8);5;TRUE;3;TRUE;1;TRUE);1;1);""))</f>
      </c>
      <c r="H8">
        <f>IF(B8="";"";IFERROR(INDEX(SORT(FILTER(Event_Girdi!$A$2:$F;Event_Girdi!$G$2:$G="Evet";Event_Girdi!$F$2:$F="Evet";Event_Girdi!$C$2:$C&lt;=B8;Event_Girdi!$D$2:$D&gt;=B8);3;TRUE;1;TRUE);1;1);G8))</f>
      </c>
      <c r="I8">
        <f>IF(B8="";"";IFERROR(TEXTJOIN(" &gt; ";TRUE;INDEX(SORT(FILTER(Event_Girdi!$A$2:$H;Event_Girdi!$G$2:$G="Evet";Event_Girdi!$C$2:$C&lt;=B8;Event_Girdi!$D$2:$D&gt;=B8);8;TRUE;5;TRUE;3;TRUE;1;TRUE);;1));""))</f>
      </c>
      <c r="J8">
        <f>IF(B8="";"";IF(F8&gt;1;"Cakisiyor";"Normal"))</f>
      </c>
    </row>
    <row r="9">
      <c r="A9">
        <f>IF(B9="";"";"W"&amp;(ROW()-1))</f>
      </c>
      <c r="B9" s="1">
        <f>IF(B8="";"";IF(B8+7&lt;=MAX(FILTER(Event_Girdi!$D$2:$D;Event_Girdi!$G$2:$G="Evet"))+6;B8+7;""))</f>
      </c>
      <c r="C9" s="1">
        <f>IF(B9="";"";B9+6)</f>
      </c>
      <c r="D9">
        <f>IF(B9="";"";TEXT(B9;"dd mmm")&amp;" - "&amp;TEXT(C9;"dd mmm"))</f>
      </c>
      <c r="E9">
        <f>IF(B9="";"";IFERROR(TEXTJOIN("; ";TRUE;FILTER(Event_Girdi!$A$2:$A;Event_Girdi!$G$2:$G="Evet";Event_Girdi!$C$2:$C&lt;=C9;Event_Girdi!$D$2:$D&gt;=B9));""))</f>
      </c>
      <c r="F9">
        <f>IF(B9="";"";MAX(COUNTIFS(Event_Girdi!$C$2:$C;"&lt;="&amp;B9;Event_Girdi!$D$2:$D;"&gt;="&amp;B9;Event_Girdi!$G$2:$G;"Evet");COUNTIFS(Event_Girdi!$C$2:$C;"&lt;="&amp;B9+1;Event_Girdi!$D$2:$D;"&gt;="&amp;B9+1;Event_Girdi!$G$2:$G;"Evet");COUNTIFS(Event_Girdi!$C$2:$C;"&lt;="&amp;B9+2;Event_Girdi!$D$2:$D;"&gt;="&amp;B9+2;Event_Girdi!$G$2:$G;"Evet");COUNTIFS(Event_Girdi!$C$2:$C;"&lt;="&amp;B9+3;Event_Girdi!$D$2:$D;"&gt;="&amp;B9+3;Event_Girdi!$G$2:$G;"Evet");COUNTIFS(Event_Girdi!$C$2:$C;"&lt;="&amp;B9+4;Event_Girdi!$D$2:$D;"&gt;="&amp;B9+4;Event_Girdi!$G$2:$G;"Evet");COUNTIFS(Event_Girdi!$C$2:$C;"&lt;="&amp;B9+5;Event_Girdi!$D$2:$D;"&gt;="&amp;B9+5;Event_Girdi!$G$2:$G;"Evet");COUNTIFS(Event_Girdi!$C$2:$C;"&lt;="&amp;B9+6;Event_Girdi!$D$2:$D;"&gt;="&amp;B9+6;Event_Girdi!$G$2:$G;"Evet")))</f>
      </c>
      <c r="G9">
        <f>IF(B9="";"";IFERROR(INDEX(SORT(FILTER(Event_Girdi!$A$2:$E;Event_Girdi!$G$2:$G="Evet";Event_Girdi!$C$2:$C&lt;=B9;Event_Girdi!$D$2:$D&gt;=B9);5;TRUE;3;TRUE;1;TRUE);1;1);""))</f>
      </c>
      <c r="H9">
        <f>IF(B9="";"";IFERROR(INDEX(SORT(FILTER(Event_Girdi!$A$2:$F;Event_Girdi!$G$2:$G="Evet";Event_Girdi!$F$2:$F="Evet";Event_Girdi!$C$2:$C&lt;=B9;Event_Girdi!$D$2:$D&gt;=B9);3;TRUE;1;TRUE);1;1);G9))</f>
      </c>
      <c r="I9">
        <f>IF(B9="";"";IFERROR(TEXTJOIN(" &gt; ";TRUE;INDEX(SORT(FILTER(Event_Girdi!$A$2:$H;Event_Girdi!$G$2:$G="Evet";Event_Girdi!$C$2:$C&lt;=B9;Event_Girdi!$D$2:$D&gt;=B9);8;TRUE;5;TRUE;3;TRUE;1;TRUE);;1));""))</f>
      </c>
      <c r="J9">
        <f>IF(B9="";"";IF(F9&gt;1;"Cakisiyor";"Normal"))</f>
      </c>
    </row>
    <row r="10">
      <c r="A10">
        <f>IF(B10="";"";"W"&amp;(ROW()-1))</f>
      </c>
      <c r="B10" s="1">
        <f>IF(B9="";"";IF(B9+7&lt;=MAX(FILTER(Event_Girdi!$D$2:$D;Event_Girdi!$G$2:$G="Evet"))+6;B9+7;""))</f>
      </c>
      <c r="C10" s="1">
        <f>IF(B10="";"";B10+6)</f>
      </c>
      <c r="D10">
        <f>IF(B10="";"";TEXT(B10;"dd mmm")&amp;" - "&amp;TEXT(C10;"dd mmm"))</f>
      </c>
      <c r="E10">
        <f>IF(B10="";"";IFERROR(TEXTJOIN("; ";TRUE;FILTER(Event_Girdi!$A$2:$A;Event_Girdi!$G$2:$G="Evet";Event_Girdi!$C$2:$C&lt;=C10;Event_Girdi!$D$2:$D&gt;=B10));""))</f>
      </c>
      <c r="F10">
        <f>IF(B10="";"";MAX(COUNTIFS(Event_Girdi!$C$2:$C;"&lt;="&amp;B10;Event_Girdi!$D$2:$D;"&gt;="&amp;B10;Event_Girdi!$G$2:$G;"Evet");COUNTIFS(Event_Girdi!$C$2:$C;"&lt;="&amp;B10+1;Event_Girdi!$D$2:$D;"&gt;="&amp;B10+1;Event_Girdi!$G$2:$G;"Evet");COUNTIFS(Event_Girdi!$C$2:$C;"&lt;="&amp;B10+2;Event_Girdi!$D$2:$D;"&gt;="&amp;B10+2;Event_Girdi!$G$2:$G;"Evet");COUNTIFS(Event_Girdi!$C$2:$C;"&lt;="&amp;B10+3;Event_Girdi!$D$2:$D;"&gt;="&amp;B10+3;Event_Girdi!$G$2:$G;"Evet");COUNTIFS(Event_Girdi!$C$2:$C;"&lt;="&amp;B10+4;Event_Girdi!$D$2:$D;"&gt;="&amp;B10+4;Event_Girdi!$G$2:$G;"Evet");COUNTIFS(Event_Girdi!$C$2:$C;"&lt;="&amp;B10+5;Event_Girdi!$D$2:$D;"&gt;="&amp;B10+5;Event_Girdi!$G$2:$G;"Evet");COUNTIFS(Event_Girdi!$C$2:$C;"&lt;="&amp;B10+6;Event_Girdi!$D$2:$D;"&gt;="&amp;B10+6;Event_Girdi!$G$2:$G;"Evet")))</f>
      </c>
      <c r="G10">
        <f>IF(B10="";"";IFERROR(INDEX(SORT(FILTER(Event_Girdi!$A$2:$E;Event_Girdi!$G$2:$G="Evet";Event_Girdi!$C$2:$C&lt;=B10;Event_Girdi!$D$2:$D&gt;=B10);5;TRUE;3;TRUE;1;TRUE);1;1);""))</f>
      </c>
      <c r="H10">
        <f>IF(B10="";"";IFERROR(INDEX(SORT(FILTER(Event_Girdi!$A$2:$F;Event_Girdi!$G$2:$G="Evet";Event_Girdi!$F$2:$F="Evet";Event_Girdi!$C$2:$C&lt;=B10;Event_Girdi!$D$2:$D&gt;=B10);3;TRUE;1;TRUE);1;1);G10))</f>
      </c>
      <c r="I10">
        <f>IF(B10="";"";IFERROR(TEXTJOIN(" &gt; ";TRUE;INDEX(SORT(FILTER(Event_Girdi!$A$2:$H;Event_Girdi!$G$2:$G="Evet";Event_Girdi!$C$2:$C&lt;=B10;Event_Girdi!$D$2:$D&gt;=B10);8;TRUE;5;TRUE;3;TRUE;1;TRUE);;1));""))</f>
      </c>
      <c r="J10">
        <f>IF(B10="";"";IF(F10&gt;1;"Cakisiyor";"Normal"))</f>
      </c>
    </row>
    <row r="11">
      <c r="A11">
        <f>IF(B11="";"";"W"&amp;(ROW()-1))</f>
      </c>
      <c r="B11" s="1">
        <f>IF(B10="";"";IF(B10+7&lt;=MAX(FILTER(Event_Girdi!$D$2:$D;Event_Girdi!$G$2:$G="Evet"))+6;B10+7;""))</f>
      </c>
      <c r="C11" s="1">
        <f>IF(B11="";"";B11+6)</f>
      </c>
      <c r="D11">
        <f>IF(B11="";"";TEXT(B11;"dd mmm")&amp;" - "&amp;TEXT(C11;"dd mmm"))</f>
      </c>
      <c r="E11">
        <f>IF(B11="";"";IFERROR(TEXTJOIN("; ";TRUE;FILTER(Event_Girdi!$A$2:$A;Event_Girdi!$G$2:$G="Evet";Event_Girdi!$C$2:$C&lt;=C11;Event_Girdi!$D$2:$D&gt;=B11));""))</f>
      </c>
      <c r="F11">
        <f>IF(B11="";"";MAX(COUNTIFS(Event_Girdi!$C$2:$C;"&lt;="&amp;B11;Event_Girdi!$D$2:$D;"&gt;="&amp;B11;Event_Girdi!$G$2:$G;"Evet");COUNTIFS(Event_Girdi!$C$2:$C;"&lt;="&amp;B11+1;Event_Girdi!$D$2:$D;"&gt;="&amp;B11+1;Event_Girdi!$G$2:$G;"Evet");COUNTIFS(Event_Girdi!$C$2:$C;"&lt;="&amp;B11+2;Event_Girdi!$D$2:$D;"&gt;="&amp;B11+2;Event_Girdi!$G$2:$G;"Evet");COUNTIFS(Event_Girdi!$C$2:$C;"&lt;="&amp;B11+3;Event_Girdi!$D$2:$D;"&gt;="&amp;B11+3;Event_Girdi!$G$2:$G;"Evet");COUNTIFS(Event_Girdi!$C$2:$C;"&lt;="&amp;B11+4;Event_Girdi!$D$2:$D;"&gt;="&amp;B11+4;Event_Girdi!$G$2:$G;"Evet");COUNTIFS(Event_Girdi!$C$2:$C;"&lt;="&amp;B11+5;Event_Girdi!$D$2:$D;"&gt;="&amp;B11+5;Event_Girdi!$G$2:$G;"Evet");COUNTIFS(Event_Girdi!$C$2:$C;"&lt;="&amp;B11+6;Event_Girdi!$D$2:$D;"&gt;="&amp;B11+6;Event_Girdi!$G$2:$G;"Evet")))</f>
      </c>
      <c r="G11">
        <f>IF(B11="";"";IFERROR(INDEX(SORT(FILTER(Event_Girdi!$A$2:$E;Event_Girdi!$G$2:$G="Evet";Event_Girdi!$C$2:$C&lt;=B11;Event_Girdi!$D$2:$D&gt;=B11);5;TRUE;3;TRUE;1;TRUE);1;1);""))</f>
      </c>
      <c r="H11">
        <f>IF(B11="";"";IFERROR(INDEX(SORT(FILTER(Event_Girdi!$A$2:$F;Event_Girdi!$G$2:$G="Evet";Event_Girdi!$F$2:$F="Evet";Event_Girdi!$C$2:$C&lt;=B11;Event_Girdi!$D$2:$D&gt;=B11);3;TRUE;1;TRUE);1;1);G11))</f>
      </c>
      <c r="I11">
        <f>IF(B11="";"";IFERROR(TEXTJOIN(" &gt; ";TRUE;INDEX(SORT(FILTER(Event_Girdi!$A$2:$H;Event_Girdi!$G$2:$G="Evet";Event_Girdi!$C$2:$C&lt;=B11;Event_Girdi!$D$2:$D&gt;=B11);8;TRUE;5;TRUE;3;TRUE;1;TRUE);;1));""))</f>
      </c>
      <c r="J11">
        <f>IF(B11="";"";IF(F11&gt;1;"Cakisiyor";"Normal"))</f>
      </c>
    </row>
    <row r="12">
      <c r="A12">
        <f>IF(B12="";"";"W"&amp;(ROW()-1))</f>
      </c>
      <c r="B12" s="1">
        <f>IF(B11="";"";IF(B11+7&lt;=MAX(FILTER(Event_Girdi!$D$2:$D;Event_Girdi!$G$2:$G="Evet"))+6;B11+7;""))</f>
      </c>
      <c r="C12" s="1">
        <f>IF(B12="";"";B12+6)</f>
      </c>
      <c r="D12">
        <f>IF(B12="";"";TEXT(B12;"dd mmm")&amp;" - "&amp;TEXT(C12;"dd mmm"))</f>
      </c>
      <c r="E12">
        <f>IF(B12="";"";IFERROR(TEXTJOIN("; ";TRUE;FILTER(Event_Girdi!$A$2:$A;Event_Girdi!$G$2:$G="Evet";Event_Girdi!$C$2:$C&lt;=C12;Event_Girdi!$D$2:$D&gt;=B12));""))</f>
      </c>
      <c r="F12">
        <f>IF(B12="";"";MAX(COUNTIFS(Event_Girdi!$C$2:$C;"&lt;="&amp;B12;Event_Girdi!$D$2:$D;"&gt;="&amp;B12;Event_Girdi!$G$2:$G;"Evet");COUNTIFS(Event_Girdi!$C$2:$C;"&lt;="&amp;B12+1;Event_Girdi!$D$2:$D;"&gt;="&amp;B12+1;Event_Girdi!$G$2:$G;"Evet");COUNTIFS(Event_Girdi!$C$2:$C;"&lt;="&amp;B12+2;Event_Girdi!$D$2:$D;"&gt;="&amp;B12+2;Event_Girdi!$G$2:$G;"Evet");COUNTIFS(Event_Girdi!$C$2:$C;"&lt;="&amp;B12+3;Event_Girdi!$D$2:$D;"&gt;="&amp;B12+3;Event_Girdi!$G$2:$G;"Evet");COUNTIFS(Event_Girdi!$C$2:$C;"&lt;="&amp;B12+4;Event_Girdi!$D$2:$D;"&gt;="&amp;B12+4;Event_Girdi!$G$2:$G;"Evet");COUNTIFS(Event_Girdi!$C$2:$C;"&lt;="&amp;B12+5;Event_Girdi!$D$2:$D;"&gt;="&amp;B12+5;Event_Girdi!$G$2:$G;"Evet");COUNTIFS(Event_Girdi!$C$2:$C;"&lt;="&amp;B12+6;Event_Girdi!$D$2:$D;"&gt;="&amp;B12+6;Event_Girdi!$G$2:$G;"Evet")))</f>
      </c>
      <c r="G12">
        <f>IF(B12="";"";IFERROR(INDEX(SORT(FILTER(Event_Girdi!$A$2:$E;Event_Girdi!$G$2:$G="Evet";Event_Girdi!$C$2:$C&lt;=B12;Event_Girdi!$D$2:$D&gt;=B12);5;TRUE;3;TRUE;1;TRUE);1;1);""))</f>
      </c>
      <c r="H12">
        <f>IF(B12="";"";IFERROR(INDEX(SORT(FILTER(Event_Girdi!$A$2:$F;Event_Girdi!$G$2:$G="Evet";Event_Girdi!$F$2:$F="Evet";Event_Girdi!$C$2:$C&lt;=B12;Event_Girdi!$D$2:$D&gt;=B12);3;TRUE;1;TRUE);1;1);G12))</f>
      </c>
      <c r="I12">
        <f>IF(B12="";"";IFERROR(TEXTJOIN(" &gt; ";TRUE;INDEX(SORT(FILTER(Event_Girdi!$A$2:$H;Event_Girdi!$G$2:$G="Evet";Event_Girdi!$C$2:$C&lt;=B12;Event_Girdi!$D$2:$D&gt;=B12);8;TRUE;5;TRUE;3;TRUE;1;TRUE);;1));""))</f>
      </c>
      <c r="J12">
        <f>IF(B12="";"";IF(F12&gt;1;"Cakisiyor";"Normal"))</f>
      </c>
    </row>
    <row r="13">
      <c r="A13">
        <f>IF(B13="";"";"W"&amp;(ROW()-1))</f>
      </c>
      <c r="B13" s="1">
        <f>IF(B12="";"";IF(B12+7&lt;=MAX(FILTER(Event_Girdi!$D$2:$D;Event_Girdi!$G$2:$G="Evet"))+6;B12+7;""))</f>
      </c>
      <c r="C13" s="1">
        <f>IF(B13="";"";B13+6)</f>
      </c>
      <c r="D13">
        <f>IF(B13="";"";TEXT(B13;"dd mmm")&amp;" - "&amp;TEXT(C13;"dd mmm"))</f>
      </c>
      <c r="E13">
        <f>IF(B13="";"";IFERROR(TEXTJOIN("; ";TRUE;FILTER(Event_Girdi!$A$2:$A;Event_Girdi!$G$2:$G="Evet";Event_Girdi!$C$2:$C&lt;=C13;Event_Girdi!$D$2:$D&gt;=B13));""))</f>
      </c>
      <c r="F13">
        <f>IF(B13="";"";MAX(COUNTIFS(Event_Girdi!$C$2:$C;"&lt;="&amp;B13;Event_Girdi!$D$2:$D;"&gt;="&amp;B13;Event_Girdi!$G$2:$G;"Evet");COUNTIFS(Event_Girdi!$C$2:$C;"&lt;="&amp;B13+1;Event_Girdi!$D$2:$D;"&gt;="&amp;B13+1;Event_Girdi!$G$2:$G;"Evet");COUNTIFS(Event_Girdi!$C$2:$C;"&lt;="&amp;B13+2;Event_Girdi!$D$2:$D;"&gt;="&amp;B13+2;Event_Girdi!$G$2:$G;"Evet");COUNTIFS(Event_Girdi!$C$2:$C;"&lt;="&amp;B13+3;Event_Girdi!$D$2:$D;"&gt;="&amp;B13+3;Event_Girdi!$G$2:$G;"Evet");COUNTIFS(Event_Girdi!$C$2:$C;"&lt;="&amp;B13+4;Event_Girdi!$D$2:$D;"&gt;="&amp;B13+4;Event_Girdi!$G$2:$G;"Evet");COUNTIFS(Event_Girdi!$C$2:$C;"&lt;="&amp;B13+5;Event_Girdi!$D$2:$D;"&gt;="&amp;B13+5;Event_Girdi!$G$2:$G;"Evet");COUNTIFS(Event_Girdi!$C$2:$C;"&lt;="&amp;B13+6;Event_Girdi!$D$2:$D;"&gt;="&amp;B13+6;Event_Girdi!$G$2:$G;"Evet")))</f>
      </c>
      <c r="G13">
        <f>IF(B13="";"";IFERROR(INDEX(SORT(FILTER(Event_Girdi!$A$2:$E;Event_Girdi!$G$2:$G="Evet";Event_Girdi!$C$2:$C&lt;=B13;Event_Girdi!$D$2:$D&gt;=B13);5;TRUE;3;TRUE;1;TRUE);1;1);""))</f>
      </c>
      <c r="H13">
        <f>IF(B13="";"";IFERROR(INDEX(SORT(FILTER(Event_Girdi!$A$2:$F;Event_Girdi!$G$2:$G="Evet";Event_Girdi!$F$2:$F="Evet";Event_Girdi!$C$2:$C&lt;=B13;Event_Girdi!$D$2:$D&gt;=B13);3;TRUE;1;TRUE);1;1);G13))</f>
      </c>
      <c r="I13">
        <f>IF(B13="";"";IFERROR(TEXTJOIN(" &gt; ";TRUE;INDEX(SORT(FILTER(Event_Girdi!$A$2:$H;Event_Girdi!$G$2:$G="Evet";Event_Girdi!$C$2:$C&lt;=B13;Event_Girdi!$D$2:$D&gt;=B13);8;TRUE;5;TRUE;3;TRUE;1;TRUE);;1));""))</f>
      </c>
      <c r="J13">
        <f>IF(B13="";"";IF(F13&gt;1;"Cakisiyor";"Normal"))</f>
      </c>
    </row>
    <row r="14">
      <c r="A14">
        <f>IF(B14="";"";"W"&amp;(ROW()-1))</f>
      </c>
      <c r="B14" s="1">
        <f>IF(B13="";"";IF(B13+7&lt;=MAX(FILTER(Event_Girdi!$D$2:$D;Event_Girdi!$G$2:$G="Evet"))+6;B13+7;""))</f>
      </c>
      <c r="C14" s="1">
        <f>IF(B14="";"";B14+6)</f>
      </c>
      <c r="D14">
        <f>IF(B14="";"";TEXT(B14;"dd mmm")&amp;" - "&amp;TEXT(C14;"dd mmm"))</f>
      </c>
      <c r="E14">
        <f>IF(B14="";"";IFERROR(TEXTJOIN("; ";TRUE;FILTER(Event_Girdi!$A$2:$A;Event_Girdi!$G$2:$G="Evet";Event_Girdi!$C$2:$C&lt;=C14;Event_Girdi!$D$2:$D&gt;=B14));""))</f>
      </c>
      <c r="F14">
        <f>IF(B14="";"";MAX(COUNTIFS(Event_Girdi!$C$2:$C;"&lt;="&amp;B14;Event_Girdi!$D$2:$D;"&gt;="&amp;B14;Event_Girdi!$G$2:$G;"Evet");COUNTIFS(Event_Girdi!$C$2:$C;"&lt;="&amp;B14+1;Event_Girdi!$D$2:$D;"&gt;="&amp;B14+1;Event_Girdi!$G$2:$G;"Evet");COUNTIFS(Event_Girdi!$C$2:$C;"&lt;="&amp;B14+2;Event_Girdi!$D$2:$D;"&gt;="&amp;B14+2;Event_Girdi!$G$2:$G;"Evet");COUNTIFS(Event_Girdi!$C$2:$C;"&lt;="&amp;B14+3;Event_Girdi!$D$2:$D;"&gt;="&amp;B14+3;Event_Girdi!$G$2:$G;"Evet");COUNTIFS(Event_Girdi!$C$2:$C;"&lt;="&amp;B14+4;Event_Girdi!$D$2:$D;"&gt;="&amp;B14+4;Event_Girdi!$G$2:$G;"Evet");COUNTIFS(Event_Girdi!$C$2:$C;"&lt;="&amp;B14+5;Event_Girdi!$D$2:$D;"&gt;="&amp;B14+5;Event_Girdi!$G$2:$G;"Evet");COUNTIFS(Event_Girdi!$C$2:$C;"&lt;="&amp;B14+6;Event_Girdi!$D$2:$D;"&gt;="&amp;B14+6;Event_Girdi!$G$2:$G;"Evet")))</f>
      </c>
      <c r="G14">
        <f>IF(B14="";"";IFERROR(INDEX(SORT(FILTER(Event_Girdi!$A$2:$E;Event_Girdi!$G$2:$G="Evet";Event_Girdi!$C$2:$C&lt;=B14;Event_Girdi!$D$2:$D&gt;=B14);5;TRUE;3;TRUE;1;TRUE);1;1);""))</f>
      </c>
      <c r="H14">
        <f>IF(B14="";"";IFERROR(INDEX(SORT(FILTER(Event_Girdi!$A$2:$F;Event_Girdi!$G$2:$G="Evet";Event_Girdi!$F$2:$F="Evet";Event_Girdi!$C$2:$C&lt;=B14;Event_Girdi!$D$2:$D&gt;=B14);3;TRUE;1;TRUE);1;1);G14))</f>
      </c>
      <c r="I14">
        <f>IF(B14="";"";IFERROR(TEXTJOIN(" &gt; ";TRUE;INDEX(SORT(FILTER(Event_Girdi!$A$2:$H;Event_Girdi!$G$2:$G="Evet";Event_Girdi!$C$2:$C&lt;=B14;Event_Girdi!$D$2:$D&gt;=B14);8;TRUE;5;TRUE;3;TRUE;1;TRUE);;1));""))</f>
      </c>
      <c r="J14">
        <f>IF(B14="";"";IF(F14&gt;1;"Cakisiyor";"Normal"))</f>
      </c>
    </row>
    <row r="15">
      <c r="A15">
        <f>IF(B15="";"";"W"&amp;(ROW()-1))</f>
      </c>
      <c r="B15" s="1">
        <f>IF(B14="";"";IF(B14+7&lt;=MAX(FILTER(Event_Girdi!$D$2:$D;Event_Girdi!$G$2:$G="Evet"))+6;B14+7;""))</f>
      </c>
      <c r="C15" s="1">
        <f>IF(B15="";"";B15+6)</f>
      </c>
      <c r="D15">
        <f>IF(B15="";"";TEXT(B15;"dd mmm")&amp;" - "&amp;TEXT(C15;"dd mmm"))</f>
      </c>
      <c r="E15">
        <f>IF(B15="";"";IFERROR(TEXTJOIN("; ";TRUE;FILTER(Event_Girdi!$A$2:$A;Event_Girdi!$G$2:$G="Evet";Event_Girdi!$C$2:$C&lt;=C15;Event_Girdi!$D$2:$D&gt;=B15));""))</f>
      </c>
      <c r="F15">
        <f>IF(B15="";"";MAX(COUNTIFS(Event_Girdi!$C$2:$C;"&lt;="&amp;B15;Event_Girdi!$D$2:$D;"&gt;="&amp;B15;Event_Girdi!$G$2:$G;"Evet");COUNTIFS(Event_Girdi!$C$2:$C;"&lt;="&amp;B15+1;Event_Girdi!$D$2:$D;"&gt;="&amp;B15+1;Event_Girdi!$G$2:$G;"Evet");COUNTIFS(Event_Girdi!$C$2:$C;"&lt;="&amp;B15+2;Event_Girdi!$D$2:$D;"&gt;="&amp;B15+2;Event_Girdi!$G$2:$G;"Evet");COUNTIFS(Event_Girdi!$C$2:$C;"&lt;="&amp;B15+3;Event_Girdi!$D$2:$D;"&gt;="&amp;B15+3;Event_Girdi!$G$2:$G;"Evet");COUNTIFS(Event_Girdi!$C$2:$C;"&lt;="&amp;B15+4;Event_Girdi!$D$2:$D;"&gt;="&amp;B15+4;Event_Girdi!$G$2:$G;"Evet");COUNTIFS(Event_Girdi!$C$2:$C;"&lt;="&amp;B15+5;Event_Girdi!$D$2:$D;"&gt;="&amp;B15+5;Event_Girdi!$G$2:$G;"Evet");COUNTIFS(Event_Girdi!$C$2:$C;"&lt;="&amp;B15+6;Event_Girdi!$D$2:$D;"&gt;="&amp;B15+6;Event_Girdi!$G$2:$G;"Evet")))</f>
      </c>
      <c r="G15">
        <f>IF(B15="";"";IFERROR(INDEX(SORT(FILTER(Event_Girdi!$A$2:$E;Event_Girdi!$G$2:$G="Evet";Event_Girdi!$C$2:$C&lt;=B15;Event_Girdi!$D$2:$D&gt;=B15);5;TRUE;3;TRUE;1;TRUE);1;1);""))</f>
      </c>
      <c r="H15">
        <f>IF(B15="";"";IFERROR(INDEX(SORT(FILTER(Event_Girdi!$A$2:$F;Event_Girdi!$G$2:$G="Evet";Event_Girdi!$F$2:$F="Evet";Event_Girdi!$C$2:$C&lt;=B15;Event_Girdi!$D$2:$D&gt;=B15);3;TRUE;1;TRUE);1;1);G15))</f>
      </c>
      <c r="I15">
        <f>IF(B15="";"";IFERROR(TEXTJOIN(" &gt; ";TRUE;INDEX(SORT(FILTER(Event_Girdi!$A$2:$H;Event_Girdi!$G$2:$G="Evet";Event_Girdi!$C$2:$C&lt;=B15;Event_Girdi!$D$2:$D&gt;=B15);8;TRUE;5;TRUE;3;TRUE;1;TRUE);;1));""))</f>
      </c>
      <c r="J15">
        <f>IF(B15="";"";IF(F15&gt;1;"Cakisiyor";"Normal"))</f>
      </c>
    </row>
    <row r="16">
      <c r="A16">
        <f>IF(B16="";"";"W"&amp;(ROW()-1))</f>
      </c>
      <c r="B16" s="1">
        <f>IF(B15="";"";IF(B15+7&lt;=MAX(FILTER(Event_Girdi!$D$2:$D;Event_Girdi!$G$2:$G="Evet"))+6;B15+7;""))</f>
      </c>
      <c r="C16" s="1">
        <f>IF(B16="";"";B16+6)</f>
      </c>
      <c r="D16">
        <f>IF(B16="";"";TEXT(B16;"dd mmm")&amp;" - "&amp;TEXT(C16;"dd mmm"))</f>
      </c>
      <c r="E16">
        <f>IF(B16="";"";IFERROR(TEXTJOIN("; ";TRUE;FILTER(Event_Girdi!$A$2:$A;Event_Girdi!$G$2:$G="Evet";Event_Girdi!$C$2:$C&lt;=C16;Event_Girdi!$D$2:$D&gt;=B16));""))</f>
      </c>
      <c r="F16">
        <f>IF(B16="";"";MAX(COUNTIFS(Event_Girdi!$C$2:$C;"&lt;="&amp;B16;Event_Girdi!$D$2:$D;"&gt;="&amp;B16;Event_Girdi!$G$2:$G;"Evet");COUNTIFS(Event_Girdi!$C$2:$C;"&lt;="&amp;B16+1;Event_Girdi!$D$2:$D;"&gt;="&amp;B16+1;Event_Girdi!$G$2:$G;"Evet");COUNTIFS(Event_Girdi!$C$2:$C;"&lt;="&amp;B16+2;Event_Girdi!$D$2:$D;"&gt;="&amp;B16+2;Event_Girdi!$G$2:$G;"Evet");COUNTIFS(Event_Girdi!$C$2:$C;"&lt;="&amp;B16+3;Event_Girdi!$D$2:$D;"&gt;="&amp;B16+3;Event_Girdi!$G$2:$G;"Evet");COUNTIFS(Event_Girdi!$C$2:$C;"&lt;="&amp;B16+4;Event_Girdi!$D$2:$D;"&gt;="&amp;B16+4;Event_Girdi!$G$2:$G;"Evet");COUNTIFS(Event_Girdi!$C$2:$C;"&lt;="&amp;B16+5;Event_Girdi!$D$2:$D;"&gt;="&amp;B16+5;Event_Girdi!$G$2:$G;"Evet");COUNTIFS(Event_Girdi!$C$2:$C;"&lt;="&amp;B16+6;Event_Girdi!$D$2:$D;"&gt;="&amp;B16+6;Event_Girdi!$G$2:$G;"Evet")))</f>
      </c>
      <c r="G16">
        <f>IF(B16="";"";IFERROR(INDEX(SORT(FILTER(Event_Girdi!$A$2:$E;Event_Girdi!$G$2:$G="Evet";Event_Girdi!$C$2:$C&lt;=B16;Event_Girdi!$D$2:$D&gt;=B16);5;TRUE;3;TRUE;1;TRUE);1;1);""))</f>
      </c>
      <c r="H16">
        <f>IF(B16="";"";IFERROR(INDEX(SORT(FILTER(Event_Girdi!$A$2:$F;Event_Girdi!$G$2:$G="Evet";Event_Girdi!$F$2:$F="Evet";Event_Girdi!$C$2:$C&lt;=B16;Event_Girdi!$D$2:$D&gt;=B16);3;TRUE;1;TRUE);1;1);G16))</f>
      </c>
      <c r="I16">
        <f>IF(B16="";"";IFERROR(TEXTJOIN(" &gt; ";TRUE;INDEX(SORT(FILTER(Event_Girdi!$A$2:$H;Event_Girdi!$G$2:$G="Evet";Event_Girdi!$C$2:$C&lt;=B16;Event_Girdi!$D$2:$D&gt;=B16);8;TRUE;5;TRUE;3;TRUE;1;TRUE);;1));""))</f>
      </c>
      <c r="J16">
        <f>IF(B16="";"";IF(F16&gt;1;"Cakisiyor";"Normal"))</f>
      </c>
    </row>
    <row r="17">
      <c r="A17">
        <f>IF(B17="";"";"W"&amp;(ROW()-1))</f>
      </c>
      <c r="B17" s="1">
        <f>IF(B16="";"";IF(B16+7&lt;=MAX(FILTER(Event_Girdi!$D$2:$D;Event_Girdi!$G$2:$G="Evet"))+6;B16+7;""))</f>
      </c>
      <c r="C17" s="1">
        <f>IF(B17="";"";B17+6)</f>
      </c>
      <c r="D17">
        <f>IF(B17="";"";TEXT(B17;"dd mmm")&amp;" - "&amp;TEXT(C17;"dd mmm"))</f>
      </c>
      <c r="E17">
        <f>IF(B17="";"";IFERROR(TEXTJOIN("; ";TRUE;FILTER(Event_Girdi!$A$2:$A;Event_Girdi!$G$2:$G="Evet";Event_Girdi!$C$2:$C&lt;=C17;Event_Girdi!$D$2:$D&gt;=B17));""))</f>
      </c>
      <c r="F17">
        <f>IF(B17="";"";MAX(COUNTIFS(Event_Girdi!$C$2:$C;"&lt;="&amp;B17;Event_Girdi!$D$2:$D;"&gt;="&amp;B17;Event_Girdi!$G$2:$G;"Evet");COUNTIFS(Event_Girdi!$C$2:$C;"&lt;="&amp;B17+1;Event_Girdi!$D$2:$D;"&gt;="&amp;B17+1;Event_Girdi!$G$2:$G;"Evet");COUNTIFS(Event_Girdi!$C$2:$C;"&lt;="&amp;B17+2;Event_Girdi!$D$2:$D;"&gt;="&amp;B17+2;Event_Girdi!$G$2:$G;"Evet");COUNTIFS(Event_Girdi!$C$2:$C;"&lt;="&amp;B17+3;Event_Girdi!$D$2:$D;"&gt;="&amp;B17+3;Event_Girdi!$G$2:$G;"Evet");COUNTIFS(Event_Girdi!$C$2:$C;"&lt;="&amp;B17+4;Event_Girdi!$D$2:$D;"&gt;="&amp;B17+4;Event_Girdi!$G$2:$G;"Evet");COUNTIFS(Event_Girdi!$C$2:$C;"&lt;="&amp;B17+5;Event_Girdi!$D$2:$D;"&gt;="&amp;B17+5;Event_Girdi!$G$2:$G;"Evet");COUNTIFS(Event_Girdi!$C$2:$C;"&lt;="&amp;B17+6;Event_Girdi!$D$2:$D;"&gt;="&amp;B17+6;Event_Girdi!$G$2:$G;"Evet")))</f>
      </c>
      <c r="G17">
        <f>IF(B17="";"";IFERROR(INDEX(SORT(FILTER(Event_Girdi!$A$2:$E;Event_Girdi!$G$2:$G="Evet";Event_Girdi!$C$2:$C&lt;=B17;Event_Girdi!$D$2:$D&gt;=B17);5;TRUE;3;TRUE;1;TRUE);1;1);""))</f>
      </c>
      <c r="H17">
        <f>IF(B17="";"";IFERROR(INDEX(SORT(FILTER(Event_Girdi!$A$2:$F;Event_Girdi!$G$2:$G="Evet";Event_Girdi!$F$2:$F="Evet";Event_Girdi!$C$2:$C&lt;=B17;Event_Girdi!$D$2:$D&gt;=B17);3;TRUE;1;TRUE);1;1);G17))</f>
      </c>
      <c r="I17">
        <f>IF(B17="";"";IFERROR(TEXTJOIN(" &gt; ";TRUE;INDEX(SORT(FILTER(Event_Girdi!$A$2:$H;Event_Girdi!$G$2:$G="Evet";Event_Girdi!$C$2:$C&lt;=B17;Event_Girdi!$D$2:$D&gt;=B17);8;TRUE;5;TRUE;3;TRUE;1;TRUE);;1));""))</f>
      </c>
      <c r="J17">
        <f>IF(B17="";"";IF(F17&gt;1;"Cakisiyor";"Normal"))</f>
      </c>
    </row>
    <row r="18">
      <c r="A18">
        <f>IF(B18="";"";"W"&amp;(ROW()-1))</f>
      </c>
      <c r="B18" s="1">
        <f>IF(B17="";"";IF(B17+7&lt;=MAX(FILTER(Event_Girdi!$D$2:$D;Event_Girdi!$G$2:$G="Evet"))+6;B17+7;""))</f>
      </c>
      <c r="C18" s="1">
        <f>IF(B18="";"";B18+6)</f>
      </c>
      <c r="D18">
        <f>IF(B18="";"";TEXT(B18;"dd mmm")&amp;" - "&amp;TEXT(C18;"dd mmm"))</f>
      </c>
      <c r="E18">
        <f>IF(B18="";"";IFERROR(TEXTJOIN("; ";TRUE;FILTER(Event_Girdi!$A$2:$A;Event_Girdi!$G$2:$G="Evet";Event_Girdi!$C$2:$C&lt;=C18;Event_Girdi!$D$2:$D&gt;=B18));""))</f>
      </c>
      <c r="F18">
        <f>IF(B18="";"";MAX(COUNTIFS(Event_Girdi!$C$2:$C;"&lt;="&amp;B18;Event_Girdi!$D$2:$D;"&gt;="&amp;B18;Event_Girdi!$G$2:$G;"Evet");COUNTIFS(Event_Girdi!$C$2:$C;"&lt;="&amp;B18+1;Event_Girdi!$D$2:$D;"&gt;="&amp;B18+1;Event_Girdi!$G$2:$G;"Evet");COUNTIFS(Event_Girdi!$C$2:$C;"&lt;="&amp;B18+2;Event_Girdi!$D$2:$D;"&gt;="&amp;B18+2;Event_Girdi!$G$2:$G;"Evet");COUNTIFS(Event_Girdi!$C$2:$C;"&lt;="&amp;B18+3;Event_Girdi!$D$2:$D;"&gt;="&amp;B18+3;Event_Girdi!$G$2:$G;"Evet");COUNTIFS(Event_Girdi!$C$2:$C;"&lt;="&amp;B18+4;Event_Girdi!$D$2:$D;"&gt;="&amp;B18+4;Event_Girdi!$G$2:$G;"Evet");COUNTIFS(Event_Girdi!$C$2:$C;"&lt;="&amp;B18+5;Event_Girdi!$D$2:$D;"&gt;="&amp;B18+5;Event_Girdi!$G$2:$G;"Evet");COUNTIFS(Event_Girdi!$C$2:$C;"&lt;="&amp;B18+6;Event_Girdi!$D$2:$D;"&gt;="&amp;B18+6;Event_Girdi!$G$2:$G;"Evet")))</f>
      </c>
      <c r="G18">
        <f>IF(B18="";"";IFERROR(INDEX(SORT(FILTER(Event_Girdi!$A$2:$E;Event_Girdi!$G$2:$G="Evet";Event_Girdi!$C$2:$C&lt;=B18;Event_Girdi!$D$2:$D&gt;=B18);5;TRUE;3;TRUE;1;TRUE);1;1);""))</f>
      </c>
      <c r="H18">
        <f>IF(B18="";"";IFERROR(INDEX(SORT(FILTER(Event_Girdi!$A$2:$F;Event_Girdi!$G$2:$G="Evet";Event_Girdi!$F$2:$F="Evet";Event_Girdi!$C$2:$C&lt;=B18;Event_Girdi!$D$2:$D&gt;=B18);3;TRUE;1;TRUE);1;1);G18))</f>
      </c>
      <c r="I18">
        <f>IF(B18="";"";IFERROR(TEXTJOIN(" &gt; ";TRUE;INDEX(SORT(FILTER(Event_Girdi!$A$2:$H;Event_Girdi!$G$2:$G="Evet";Event_Girdi!$C$2:$C&lt;=B18;Event_Girdi!$D$2:$D&gt;=B18);8;TRUE;5;TRUE;3;TRUE;1;TRUE);;1));""))</f>
      </c>
      <c r="J18">
        <f>IF(B18="";"";IF(F18&gt;1;"Cakisiyor";"Normal"))</f>
      </c>
    </row>
    <row r="19">
      <c r="A19">
        <f>IF(B19="";"";"W"&amp;(ROW()-1))</f>
      </c>
      <c r="B19" s="1">
        <f>IF(B18="";"";IF(B18+7&lt;=MAX(FILTER(Event_Girdi!$D$2:$D;Event_Girdi!$G$2:$G="Evet"))+6;B18+7;""))</f>
      </c>
      <c r="C19" s="1">
        <f>IF(B19="";"";B19+6)</f>
      </c>
      <c r="D19">
        <f>IF(B19="";"";TEXT(B19;"dd mmm")&amp;" - "&amp;TEXT(C19;"dd mmm"))</f>
      </c>
      <c r="E19">
        <f>IF(B19="";"";IFERROR(TEXTJOIN("; ";TRUE;FILTER(Event_Girdi!$A$2:$A;Event_Girdi!$G$2:$G="Evet";Event_Girdi!$C$2:$C&lt;=C19;Event_Girdi!$D$2:$D&gt;=B19));""))</f>
      </c>
      <c r="F19">
        <f>IF(B19="";"";MAX(COUNTIFS(Event_Girdi!$C$2:$C;"&lt;="&amp;B19;Event_Girdi!$D$2:$D;"&gt;="&amp;B19;Event_Girdi!$G$2:$G;"Evet");COUNTIFS(Event_Girdi!$C$2:$C;"&lt;="&amp;B19+1;Event_Girdi!$D$2:$D;"&gt;="&amp;B19+1;Event_Girdi!$G$2:$G;"Evet");COUNTIFS(Event_Girdi!$C$2:$C;"&lt;="&amp;B19+2;Event_Girdi!$D$2:$D;"&gt;="&amp;B19+2;Event_Girdi!$G$2:$G;"Evet");COUNTIFS(Event_Girdi!$C$2:$C;"&lt;="&amp;B19+3;Event_Girdi!$D$2:$D;"&gt;="&amp;B19+3;Event_Girdi!$G$2:$G;"Evet");COUNTIFS(Event_Girdi!$C$2:$C;"&lt;="&amp;B19+4;Event_Girdi!$D$2:$D;"&gt;="&amp;B19+4;Event_Girdi!$G$2:$G;"Evet");COUNTIFS(Event_Girdi!$C$2:$C;"&lt;="&amp;B19+5;Event_Girdi!$D$2:$D;"&gt;="&amp;B19+5;Event_Girdi!$G$2:$G;"Evet");COUNTIFS(Event_Girdi!$C$2:$C;"&lt;="&amp;B19+6;Event_Girdi!$D$2:$D;"&gt;="&amp;B19+6;Event_Girdi!$G$2:$G;"Evet")))</f>
      </c>
      <c r="G19">
        <f>IF(B19="";"";IFERROR(INDEX(SORT(FILTER(Event_Girdi!$A$2:$E;Event_Girdi!$G$2:$G="Evet";Event_Girdi!$C$2:$C&lt;=B19;Event_Girdi!$D$2:$D&gt;=B19);5;TRUE;3;TRUE;1;TRUE);1;1);""))</f>
      </c>
      <c r="H19">
        <f>IF(B19="";"";IFERROR(INDEX(SORT(FILTER(Event_Girdi!$A$2:$F;Event_Girdi!$G$2:$G="Evet";Event_Girdi!$F$2:$F="Evet";Event_Girdi!$C$2:$C&lt;=B19;Event_Girdi!$D$2:$D&gt;=B19);3;TRUE;1;TRUE);1;1);G19))</f>
      </c>
      <c r="I19">
        <f>IF(B19="";"";IFERROR(TEXTJOIN(" &gt; ";TRUE;INDEX(SORT(FILTER(Event_Girdi!$A$2:$H;Event_Girdi!$G$2:$G="Evet";Event_Girdi!$C$2:$C&lt;=B19;Event_Girdi!$D$2:$D&gt;=B19);8;TRUE;5;TRUE;3;TRUE;1;TRUE);;1));""))</f>
      </c>
      <c r="J19">
        <f>IF(B19="";"";IF(F19&gt;1;"Cakisiyor";"Normal"))</f>
      </c>
    </row>
    <row r="20">
      <c r="A20">
        <f>IF(B20="";"";"W"&amp;(ROW()-1))</f>
      </c>
      <c r="B20" s="1">
        <f>IF(B19="";"";IF(B19+7&lt;=MAX(FILTER(Event_Girdi!$D$2:$D;Event_Girdi!$G$2:$G="Evet"))+6;B19+7;""))</f>
      </c>
      <c r="C20" s="1">
        <f>IF(B20="";"";B20+6)</f>
      </c>
      <c r="D20">
        <f>IF(B20="";"";TEXT(B20;"dd mmm")&amp;" - "&amp;TEXT(C20;"dd mmm"))</f>
      </c>
      <c r="E20">
        <f>IF(B20="";"";IFERROR(TEXTJOIN("; ";TRUE;FILTER(Event_Girdi!$A$2:$A;Event_Girdi!$G$2:$G="Evet";Event_Girdi!$C$2:$C&lt;=C20;Event_Girdi!$D$2:$D&gt;=B20));""))</f>
      </c>
      <c r="F20">
        <f>IF(B20="";"";MAX(COUNTIFS(Event_Girdi!$C$2:$C;"&lt;="&amp;B20;Event_Girdi!$D$2:$D;"&gt;="&amp;B20;Event_Girdi!$G$2:$G;"Evet");COUNTIFS(Event_Girdi!$C$2:$C;"&lt;="&amp;B20+1;Event_Girdi!$D$2:$D;"&gt;="&amp;B20+1;Event_Girdi!$G$2:$G;"Evet");COUNTIFS(Event_Girdi!$C$2:$C;"&lt;="&amp;B20+2;Event_Girdi!$D$2:$D;"&gt;="&amp;B20+2;Event_Girdi!$G$2:$G;"Evet");COUNTIFS(Event_Girdi!$C$2:$C;"&lt;="&amp;B20+3;Event_Girdi!$D$2:$D;"&gt;="&amp;B20+3;Event_Girdi!$G$2:$G;"Evet");COUNTIFS(Event_Girdi!$C$2:$C;"&lt;="&amp;B20+4;Event_Girdi!$D$2:$D;"&gt;="&amp;B20+4;Event_Girdi!$G$2:$G;"Evet");COUNTIFS(Event_Girdi!$C$2:$C;"&lt;="&amp;B20+5;Event_Girdi!$D$2:$D;"&gt;="&amp;B20+5;Event_Girdi!$G$2:$G;"Evet");COUNTIFS(Event_Girdi!$C$2:$C;"&lt;="&amp;B20+6;Event_Girdi!$D$2:$D;"&gt;="&amp;B20+6;Event_Girdi!$G$2:$G;"Evet")))</f>
      </c>
      <c r="G20">
        <f>IF(B20="";"";IFERROR(INDEX(SORT(FILTER(Event_Girdi!$A$2:$E;Event_Girdi!$G$2:$G="Evet";Event_Girdi!$C$2:$C&lt;=B20;Event_Girdi!$D$2:$D&gt;=B20);5;TRUE;3;TRUE;1;TRUE);1;1);""))</f>
      </c>
      <c r="H20">
        <f>IF(B20="";"";IFERROR(INDEX(SORT(FILTER(Event_Girdi!$A$2:$F;Event_Girdi!$G$2:$G="Evet";Event_Girdi!$F$2:$F="Evet";Event_Girdi!$C$2:$C&lt;=B20;Event_Girdi!$D$2:$D&gt;=B20);3;TRUE;1;TRUE);1;1);G20))</f>
      </c>
      <c r="I20">
        <f>IF(B20="";"";IFERROR(TEXTJOIN(" &gt; ";TRUE;INDEX(SORT(FILTER(Event_Girdi!$A$2:$H;Event_Girdi!$G$2:$G="Evet";Event_Girdi!$C$2:$C&lt;=B20;Event_Girdi!$D$2:$D&gt;=B20);8;TRUE;5;TRUE;3;TRUE;1;TRUE);;1));""))</f>
      </c>
      <c r="J20">
        <f>IF(B20="";"";IF(F20&gt;1;"Cakisiyor";"Normal"))</f>
      </c>
    </row>
    <row r="21">
      <c r="A21">
        <f>IF(B21="";"";"W"&amp;(ROW()-1))</f>
      </c>
      <c r="B21" s="1">
        <f>IF(B20="";"";IF(B20+7&lt;=MAX(FILTER(Event_Girdi!$D$2:$D;Event_Girdi!$G$2:$G="Evet"))+6;B20+7;""))</f>
      </c>
      <c r="C21" s="1">
        <f>IF(B21="";"";B21+6)</f>
      </c>
      <c r="D21">
        <f>IF(B21="";"";TEXT(B21;"dd mmm")&amp;" - "&amp;TEXT(C21;"dd mmm"))</f>
      </c>
      <c r="E21">
        <f>IF(B21="";"";IFERROR(TEXTJOIN("; ";TRUE;FILTER(Event_Girdi!$A$2:$A;Event_Girdi!$G$2:$G="Evet";Event_Girdi!$C$2:$C&lt;=C21;Event_Girdi!$D$2:$D&gt;=B21));""))</f>
      </c>
      <c r="F21">
        <f>IF(B21="";"";MAX(COUNTIFS(Event_Girdi!$C$2:$C;"&lt;="&amp;B21;Event_Girdi!$D$2:$D;"&gt;="&amp;B21;Event_Girdi!$G$2:$G;"Evet");COUNTIFS(Event_Girdi!$C$2:$C;"&lt;="&amp;B21+1;Event_Girdi!$D$2:$D;"&gt;="&amp;B21+1;Event_Girdi!$G$2:$G;"Evet");COUNTIFS(Event_Girdi!$C$2:$C;"&lt;="&amp;B21+2;Event_Girdi!$D$2:$D;"&gt;="&amp;B21+2;Event_Girdi!$G$2:$G;"Evet");COUNTIFS(Event_Girdi!$C$2:$C;"&lt;="&amp;B21+3;Event_Girdi!$D$2:$D;"&gt;="&amp;B21+3;Event_Girdi!$G$2:$G;"Evet");COUNTIFS(Event_Girdi!$C$2:$C;"&lt;="&amp;B21+4;Event_Girdi!$D$2:$D;"&gt;="&amp;B21+4;Event_Girdi!$G$2:$G;"Evet");COUNTIFS(Event_Girdi!$C$2:$C;"&lt;="&amp;B21+5;Event_Girdi!$D$2:$D;"&gt;="&amp;B21+5;Event_Girdi!$G$2:$G;"Evet");COUNTIFS(Event_Girdi!$C$2:$C;"&lt;="&amp;B21+6;Event_Girdi!$D$2:$D;"&gt;="&amp;B21+6;Event_Girdi!$G$2:$G;"Evet")))</f>
      </c>
      <c r="G21">
        <f>IF(B21="";"";IFERROR(INDEX(SORT(FILTER(Event_Girdi!$A$2:$E;Event_Girdi!$G$2:$G="Evet";Event_Girdi!$C$2:$C&lt;=B21;Event_Girdi!$D$2:$D&gt;=B21);5;TRUE;3;TRUE;1;TRUE);1;1);""))</f>
      </c>
      <c r="H21">
        <f>IF(B21="";"";IFERROR(INDEX(SORT(FILTER(Event_Girdi!$A$2:$F;Event_Girdi!$G$2:$G="Evet";Event_Girdi!$F$2:$F="Evet";Event_Girdi!$C$2:$C&lt;=B21;Event_Girdi!$D$2:$D&gt;=B21);3;TRUE;1;TRUE);1;1);G21))</f>
      </c>
      <c r="I21">
        <f>IF(B21="";"";IFERROR(TEXTJOIN(" &gt; ";TRUE;INDEX(SORT(FILTER(Event_Girdi!$A$2:$H;Event_Girdi!$G$2:$G="Evet";Event_Girdi!$C$2:$C&lt;=B21;Event_Girdi!$D$2:$D&gt;=B21);8;TRUE;5;TRUE;3;TRUE;1;TRUE);;1));""))</f>
      </c>
      <c r="J21">
        <f>IF(B21="";"";IF(F21&gt;1;"Cakisiyor";"Normal"))</f>
      </c>
    </row>
    <row r="22">
      <c r="A22">
        <f>IF(B22="";"";"W"&amp;(ROW()-1))</f>
      </c>
      <c r="B22" s="1">
        <f>IF(B21="";"";IF(B21+7&lt;=MAX(FILTER(Event_Girdi!$D$2:$D;Event_Girdi!$G$2:$G="Evet"))+6;B21+7;""))</f>
      </c>
      <c r="C22" s="1">
        <f>IF(B22="";"";B22+6)</f>
      </c>
      <c r="D22">
        <f>IF(B22="";"";TEXT(B22;"dd mmm")&amp;" - "&amp;TEXT(C22;"dd mmm"))</f>
      </c>
      <c r="E22">
        <f>IF(B22="";"";IFERROR(TEXTJOIN("; ";TRUE;FILTER(Event_Girdi!$A$2:$A;Event_Girdi!$G$2:$G="Evet";Event_Girdi!$C$2:$C&lt;=C22;Event_Girdi!$D$2:$D&gt;=B22));""))</f>
      </c>
      <c r="F22">
        <f>IF(B22="";"";MAX(COUNTIFS(Event_Girdi!$C$2:$C;"&lt;="&amp;B22;Event_Girdi!$D$2:$D;"&gt;="&amp;B22;Event_Girdi!$G$2:$G;"Evet");COUNTIFS(Event_Girdi!$C$2:$C;"&lt;="&amp;B22+1;Event_Girdi!$D$2:$D;"&gt;="&amp;B22+1;Event_Girdi!$G$2:$G;"Evet");COUNTIFS(Event_Girdi!$C$2:$C;"&lt;="&amp;B22+2;Event_Girdi!$D$2:$D;"&gt;="&amp;B22+2;Event_Girdi!$G$2:$G;"Evet");COUNTIFS(Event_Girdi!$C$2:$C;"&lt;="&amp;B22+3;Event_Girdi!$D$2:$D;"&gt;="&amp;B22+3;Event_Girdi!$G$2:$G;"Evet");COUNTIFS(Event_Girdi!$C$2:$C;"&lt;="&amp;B22+4;Event_Girdi!$D$2:$D;"&gt;="&amp;B22+4;Event_Girdi!$G$2:$G;"Evet");COUNTIFS(Event_Girdi!$C$2:$C;"&lt;="&amp;B22+5;Event_Girdi!$D$2:$D;"&gt;="&amp;B22+5;Event_Girdi!$G$2:$G;"Evet");COUNTIFS(Event_Girdi!$C$2:$C;"&lt;="&amp;B22+6;Event_Girdi!$D$2:$D;"&gt;="&amp;B22+6;Event_Girdi!$G$2:$G;"Evet")))</f>
      </c>
      <c r="G22">
        <f>IF(B22="";"";IFERROR(INDEX(SORT(FILTER(Event_Girdi!$A$2:$E;Event_Girdi!$G$2:$G="Evet";Event_Girdi!$C$2:$C&lt;=B22;Event_Girdi!$D$2:$D&gt;=B22);5;TRUE;3;TRUE;1;TRUE);1;1);""))</f>
      </c>
      <c r="H22">
        <f>IF(B22="";"";IFERROR(INDEX(SORT(FILTER(Event_Girdi!$A$2:$F;Event_Girdi!$G$2:$G="Evet";Event_Girdi!$F$2:$F="Evet";Event_Girdi!$C$2:$C&lt;=B22;Event_Girdi!$D$2:$D&gt;=B22);3;TRUE;1;TRUE);1;1);G22))</f>
      </c>
      <c r="I22">
        <f>IF(B22="";"";IFERROR(TEXTJOIN(" &gt; ";TRUE;INDEX(SORT(FILTER(Event_Girdi!$A$2:$H;Event_Girdi!$G$2:$G="Evet";Event_Girdi!$C$2:$C&lt;=B22;Event_Girdi!$D$2:$D&gt;=B22);8;TRUE;5;TRUE;3;TRUE;1;TRUE);;1));""))</f>
      </c>
      <c r="J22">
        <f>IF(B22="";"";IF(F22&gt;1;"Cakisiyor";"Normal"))</f>
      </c>
    </row>
    <row r="23">
      <c r="A23">
        <f>IF(B23="";"";"W"&amp;(ROW()-1))</f>
      </c>
      <c r="B23" s="1">
        <f>IF(B22="";"";IF(B22+7&lt;=MAX(FILTER(Event_Girdi!$D$2:$D;Event_Girdi!$G$2:$G="Evet"))+6;B22+7;""))</f>
      </c>
      <c r="C23" s="1">
        <f>IF(B23="";"";B23+6)</f>
      </c>
      <c r="D23">
        <f>IF(B23="";"";TEXT(B23;"dd mmm")&amp;" - "&amp;TEXT(C23;"dd mmm"))</f>
      </c>
      <c r="E23">
        <f>IF(B23="";"";IFERROR(TEXTJOIN("; ";TRUE;FILTER(Event_Girdi!$A$2:$A;Event_Girdi!$G$2:$G="Evet";Event_Girdi!$C$2:$C&lt;=C23;Event_Girdi!$D$2:$D&gt;=B23));""))</f>
      </c>
      <c r="F23">
        <f>IF(B23="";"";MAX(COUNTIFS(Event_Girdi!$C$2:$C;"&lt;="&amp;B23;Event_Girdi!$D$2:$D;"&gt;="&amp;B23;Event_Girdi!$G$2:$G;"Evet");COUNTIFS(Event_Girdi!$C$2:$C;"&lt;="&amp;B23+1;Event_Girdi!$D$2:$D;"&gt;="&amp;B23+1;Event_Girdi!$G$2:$G;"Evet");COUNTIFS(Event_Girdi!$C$2:$C;"&lt;="&amp;B23+2;Event_Girdi!$D$2:$D;"&gt;="&amp;B23+2;Event_Girdi!$G$2:$G;"Evet");COUNTIFS(Event_Girdi!$C$2:$C;"&lt;="&amp;B23+3;Event_Girdi!$D$2:$D;"&gt;="&amp;B23+3;Event_Girdi!$G$2:$G;"Evet");COUNTIFS(Event_Girdi!$C$2:$C;"&lt;="&amp;B23+4;Event_Girdi!$D$2:$D;"&gt;="&amp;B23+4;Event_Girdi!$G$2:$G;"Evet");COUNTIFS(Event_Girdi!$C$2:$C;"&lt;="&amp;B23+5;Event_Girdi!$D$2:$D;"&gt;="&amp;B23+5;Event_Girdi!$G$2:$G;"Evet");COUNTIFS(Event_Girdi!$C$2:$C;"&lt;="&amp;B23+6;Event_Girdi!$D$2:$D;"&gt;="&amp;B23+6;Event_Girdi!$G$2:$G;"Evet")))</f>
      </c>
      <c r="G23">
        <f>IF(B23="";"";IFERROR(INDEX(SORT(FILTER(Event_Girdi!$A$2:$E;Event_Girdi!$G$2:$G="Evet";Event_Girdi!$C$2:$C&lt;=B23;Event_Girdi!$D$2:$D&gt;=B23);5;TRUE;3;TRUE;1;TRUE);1;1);""))</f>
      </c>
      <c r="H23">
        <f>IF(B23="";"";IFERROR(INDEX(SORT(FILTER(Event_Girdi!$A$2:$F;Event_Girdi!$G$2:$G="Evet";Event_Girdi!$F$2:$F="Evet";Event_Girdi!$C$2:$C&lt;=B23;Event_Girdi!$D$2:$D&gt;=B23);3;TRUE;1;TRUE);1;1);G23))</f>
      </c>
      <c r="I23">
        <f>IF(B23="";"";IFERROR(TEXTJOIN(" &gt; ";TRUE;INDEX(SORT(FILTER(Event_Girdi!$A$2:$H;Event_Girdi!$G$2:$G="Evet";Event_Girdi!$C$2:$C&lt;=B23;Event_Girdi!$D$2:$D&gt;=B23);8;TRUE;5;TRUE;3;TRUE;1;TRUE);;1));""))</f>
      </c>
      <c r="J23">
        <f>IF(B23="";"";IF(F23&gt;1;"Cakisiyor";"Normal"))</f>
      </c>
    </row>
    <row r="24">
      <c r="A24">
        <f>IF(B24="";"";"W"&amp;(ROW()-1))</f>
      </c>
      <c r="B24" s="1">
        <f>IF(B23="";"";IF(B23+7&lt;=MAX(FILTER(Event_Girdi!$D$2:$D;Event_Girdi!$G$2:$G="Evet"))+6;B23+7;""))</f>
      </c>
      <c r="C24" s="1">
        <f>IF(B24="";"";B24+6)</f>
      </c>
      <c r="D24">
        <f>IF(B24="";"";TEXT(B24;"dd mmm")&amp;" - "&amp;TEXT(C24;"dd mmm"))</f>
      </c>
      <c r="E24">
        <f>IF(B24="";"";IFERROR(TEXTJOIN("; ";TRUE;FILTER(Event_Girdi!$A$2:$A;Event_Girdi!$G$2:$G="Evet";Event_Girdi!$C$2:$C&lt;=C24;Event_Girdi!$D$2:$D&gt;=B24));""))</f>
      </c>
      <c r="F24">
        <f>IF(B24="";"";MAX(COUNTIFS(Event_Girdi!$C$2:$C;"&lt;="&amp;B24;Event_Girdi!$D$2:$D;"&gt;="&amp;B24;Event_Girdi!$G$2:$G;"Evet");COUNTIFS(Event_Girdi!$C$2:$C;"&lt;="&amp;B24+1;Event_Girdi!$D$2:$D;"&gt;="&amp;B24+1;Event_Girdi!$G$2:$G;"Evet");COUNTIFS(Event_Girdi!$C$2:$C;"&lt;="&amp;B24+2;Event_Girdi!$D$2:$D;"&gt;="&amp;B24+2;Event_Girdi!$G$2:$G;"Evet");COUNTIFS(Event_Girdi!$C$2:$C;"&lt;="&amp;B24+3;Event_Girdi!$D$2:$D;"&gt;="&amp;B24+3;Event_Girdi!$G$2:$G;"Evet");COUNTIFS(Event_Girdi!$C$2:$C;"&lt;="&amp;B24+4;Event_Girdi!$D$2:$D;"&gt;="&amp;B24+4;Event_Girdi!$G$2:$G;"Evet");COUNTIFS(Event_Girdi!$C$2:$C;"&lt;="&amp;B24+5;Event_Girdi!$D$2:$D;"&gt;="&amp;B24+5;Event_Girdi!$G$2:$G;"Evet");COUNTIFS(Event_Girdi!$C$2:$C;"&lt;="&amp;B24+6;Event_Girdi!$D$2:$D;"&gt;="&amp;B24+6;Event_Girdi!$G$2:$G;"Evet")))</f>
      </c>
      <c r="G24">
        <f>IF(B24="";"";IFERROR(INDEX(SORT(FILTER(Event_Girdi!$A$2:$E;Event_Girdi!$G$2:$G="Evet";Event_Girdi!$C$2:$C&lt;=B24;Event_Girdi!$D$2:$D&gt;=B24);5;TRUE;3;TRUE;1;TRUE);1;1);""))</f>
      </c>
      <c r="H24">
        <f>IF(B24="";"";IFERROR(INDEX(SORT(FILTER(Event_Girdi!$A$2:$F;Event_Girdi!$G$2:$G="Evet";Event_Girdi!$F$2:$F="Evet";Event_Girdi!$C$2:$C&lt;=B24;Event_Girdi!$D$2:$D&gt;=B24);3;TRUE;1;TRUE);1;1);G24))</f>
      </c>
      <c r="I24">
        <f>IF(B24="";"";IFERROR(TEXTJOIN(" &gt; ";TRUE;INDEX(SORT(FILTER(Event_Girdi!$A$2:$H;Event_Girdi!$G$2:$G="Evet";Event_Girdi!$C$2:$C&lt;=B24;Event_Girdi!$D$2:$D&gt;=B24);8;TRUE;5;TRUE;3;TRUE;1;TRUE);;1));""))</f>
      </c>
      <c r="J24">
        <f>IF(B24="";"";IF(F24&gt;1;"Cakisiyor";"Normal"))</f>
      </c>
    </row>
    <row r="25">
      <c r="A25">
        <f>IF(B25="";"";"W"&amp;(ROW()-1))</f>
      </c>
      <c r="B25" s="1">
        <f>IF(B24="";"";IF(B24+7&lt;=MAX(FILTER(Event_Girdi!$D$2:$D;Event_Girdi!$G$2:$G="Evet"))+6;B24+7;""))</f>
      </c>
      <c r="C25" s="1">
        <f>IF(B25="";"";B25+6)</f>
      </c>
      <c r="D25">
        <f>IF(B25="";"";TEXT(B25;"dd mmm")&amp;" - "&amp;TEXT(C25;"dd mmm"))</f>
      </c>
      <c r="E25">
        <f>IF(B25="";"";IFERROR(TEXTJOIN("; ";TRUE;FILTER(Event_Girdi!$A$2:$A;Event_Girdi!$G$2:$G="Evet";Event_Girdi!$C$2:$C&lt;=C25;Event_Girdi!$D$2:$D&gt;=B25));""))</f>
      </c>
      <c r="F25">
        <f>IF(B25="";"";MAX(COUNTIFS(Event_Girdi!$C$2:$C;"&lt;="&amp;B25;Event_Girdi!$D$2:$D;"&gt;="&amp;B25;Event_Girdi!$G$2:$G;"Evet");COUNTIFS(Event_Girdi!$C$2:$C;"&lt;="&amp;B25+1;Event_Girdi!$D$2:$D;"&gt;="&amp;B25+1;Event_Girdi!$G$2:$G;"Evet");COUNTIFS(Event_Girdi!$C$2:$C;"&lt;="&amp;B25+2;Event_Girdi!$D$2:$D;"&gt;="&amp;B25+2;Event_Girdi!$G$2:$G;"Evet");COUNTIFS(Event_Girdi!$C$2:$C;"&lt;="&amp;B25+3;Event_Girdi!$D$2:$D;"&gt;="&amp;B25+3;Event_Girdi!$G$2:$G;"Evet");COUNTIFS(Event_Girdi!$C$2:$C;"&lt;="&amp;B25+4;Event_Girdi!$D$2:$D;"&gt;="&amp;B25+4;Event_Girdi!$G$2:$G;"Evet");COUNTIFS(Event_Girdi!$C$2:$C;"&lt;="&amp;B25+5;Event_Girdi!$D$2:$D;"&gt;="&amp;B25+5;Event_Girdi!$G$2:$G;"Evet");COUNTIFS(Event_Girdi!$C$2:$C;"&lt;="&amp;B25+6;Event_Girdi!$D$2:$D;"&gt;="&amp;B25+6;Event_Girdi!$G$2:$G;"Evet")))</f>
      </c>
      <c r="G25">
        <f>IF(B25="";"";IFERROR(INDEX(SORT(FILTER(Event_Girdi!$A$2:$E;Event_Girdi!$G$2:$G="Evet";Event_Girdi!$C$2:$C&lt;=B25;Event_Girdi!$D$2:$D&gt;=B25);5;TRUE;3;TRUE;1;TRUE);1;1);""))</f>
      </c>
      <c r="H25">
        <f>IF(B25="";"";IFERROR(INDEX(SORT(FILTER(Event_Girdi!$A$2:$F;Event_Girdi!$G$2:$G="Evet";Event_Girdi!$F$2:$F="Evet";Event_Girdi!$C$2:$C&lt;=B25;Event_Girdi!$D$2:$D&gt;=B25);3;TRUE;1;TRUE);1;1);G25))</f>
      </c>
      <c r="I25">
        <f>IF(B25="";"";IFERROR(TEXTJOIN(" &gt; ";TRUE;INDEX(SORT(FILTER(Event_Girdi!$A$2:$H;Event_Girdi!$G$2:$G="Evet";Event_Girdi!$C$2:$C&lt;=B25;Event_Girdi!$D$2:$D&gt;=B25);8;TRUE;5;TRUE;3;TRUE;1;TRUE);;1));""))</f>
      </c>
      <c r="J25">
        <f>IF(B25="";"";IF(F25&gt;1;"Cakisiyor";"Normal"))</f>
      </c>
    </row>
    <row r="26">
      <c r="A26">
        <f>IF(B26="";"";"W"&amp;(ROW()-1))</f>
      </c>
      <c r="B26" s="1">
        <f>IF(B25="";"";IF(B25+7&lt;=MAX(FILTER(Event_Girdi!$D$2:$D;Event_Girdi!$G$2:$G="Evet"))+6;B25+7;""))</f>
      </c>
      <c r="C26" s="1">
        <f>IF(B26="";"";B26+6)</f>
      </c>
      <c r="D26">
        <f>IF(B26="";"";TEXT(B26;"dd mmm")&amp;" - "&amp;TEXT(C26;"dd mmm"))</f>
      </c>
      <c r="E26">
        <f>IF(B26="";"";IFERROR(TEXTJOIN("; ";TRUE;FILTER(Event_Girdi!$A$2:$A;Event_Girdi!$G$2:$G="Evet";Event_Girdi!$C$2:$C&lt;=C26;Event_Girdi!$D$2:$D&gt;=B26));""))</f>
      </c>
      <c r="F26">
        <f>IF(B26="";"";MAX(COUNTIFS(Event_Girdi!$C$2:$C;"&lt;="&amp;B26;Event_Girdi!$D$2:$D;"&gt;="&amp;B26;Event_Girdi!$G$2:$G;"Evet");COUNTIFS(Event_Girdi!$C$2:$C;"&lt;="&amp;B26+1;Event_Girdi!$D$2:$D;"&gt;="&amp;B26+1;Event_Girdi!$G$2:$G;"Evet");COUNTIFS(Event_Girdi!$C$2:$C;"&lt;="&amp;B26+2;Event_Girdi!$D$2:$D;"&gt;="&amp;B26+2;Event_Girdi!$G$2:$G;"Evet");COUNTIFS(Event_Girdi!$C$2:$C;"&lt;="&amp;B26+3;Event_Girdi!$D$2:$D;"&gt;="&amp;B26+3;Event_Girdi!$G$2:$G;"Evet");COUNTIFS(Event_Girdi!$C$2:$C;"&lt;="&amp;B26+4;Event_Girdi!$D$2:$D;"&gt;="&amp;B26+4;Event_Girdi!$G$2:$G;"Evet");COUNTIFS(Event_Girdi!$C$2:$C;"&lt;="&amp;B26+5;Event_Girdi!$D$2:$D;"&gt;="&amp;B26+5;Event_Girdi!$G$2:$G;"Evet");COUNTIFS(Event_Girdi!$C$2:$C;"&lt;="&amp;B26+6;Event_Girdi!$D$2:$D;"&gt;="&amp;B26+6;Event_Girdi!$G$2:$G;"Evet")))</f>
      </c>
      <c r="G26">
        <f>IF(B26="";"";IFERROR(INDEX(SORT(FILTER(Event_Girdi!$A$2:$E;Event_Girdi!$G$2:$G="Evet";Event_Girdi!$C$2:$C&lt;=B26;Event_Girdi!$D$2:$D&gt;=B26);5;TRUE;3;TRUE;1;TRUE);1;1);""))</f>
      </c>
      <c r="H26">
        <f>IF(B26="";"";IFERROR(INDEX(SORT(FILTER(Event_Girdi!$A$2:$F;Event_Girdi!$G$2:$G="Evet";Event_Girdi!$F$2:$F="Evet";Event_Girdi!$C$2:$C&lt;=B26;Event_Girdi!$D$2:$D&gt;=B26);3;TRUE;1;TRUE);1;1);G26))</f>
      </c>
      <c r="I26">
        <f>IF(B26="";"";IFERROR(TEXTJOIN(" &gt; ";TRUE;INDEX(SORT(FILTER(Event_Girdi!$A$2:$H;Event_Girdi!$G$2:$G="Evet";Event_Girdi!$C$2:$C&lt;=B26;Event_Girdi!$D$2:$D&gt;=B26);8;TRUE;5;TRUE;3;TRUE;1;TRUE);;1));""))</f>
      </c>
      <c r="J26">
        <f>IF(B26="";"";IF(F26&gt;1;"Cakisiyor";"Normal"))</f>
      </c>
    </row>
    <row r="27">
      <c r="A27">
        <f>IF(B27="";"";"W"&amp;(ROW()-1))</f>
      </c>
      <c r="B27" s="1">
        <f>IF(B26="";"";IF(B26+7&lt;=MAX(FILTER(Event_Girdi!$D$2:$D;Event_Girdi!$G$2:$G="Evet"))+6;B26+7;""))</f>
      </c>
      <c r="C27" s="1">
        <f>IF(B27="";"";B27+6)</f>
      </c>
      <c r="D27">
        <f>IF(B27="";"";TEXT(B27;"dd mmm")&amp;" - "&amp;TEXT(C27;"dd mmm"))</f>
      </c>
      <c r="E27">
        <f>IF(B27="";"";IFERROR(TEXTJOIN("; ";TRUE;FILTER(Event_Girdi!$A$2:$A;Event_Girdi!$G$2:$G="Evet";Event_Girdi!$C$2:$C&lt;=C27;Event_Girdi!$D$2:$D&gt;=B27));""))</f>
      </c>
      <c r="F27">
        <f>IF(B27="";"";MAX(COUNTIFS(Event_Girdi!$C$2:$C;"&lt;="&amp;B27;Event_Girdi!$D$2:$D;"&gt;="&amp;B27;Event_Girdi!$G$2:$G;"Evet");COUNTIFS(Event_Girdi!$C$2:$C;"&lt;="&amp;B27+1;Event_Girdi!$D$2:$D;"&gt;="&amp;B27+1;Event_Girdi!$G$2:$G;"Evet");COUNTIFS(Event_Girdi!$C$2:$C;"&lt;="&amp;B27+2;Event_Girdi!$D$2:$D;"&gt;="&amp;B27+2;Event_Girdi!$G$2:$G;"Evet");COUNTIFS(Event_Girdi!$C$2:$C;"&lt;="&amp;B27+3;Event_Girdi!$D$2:$D;"&gt;="&amp;B27+3;Event_Girdi!$G$2:$G;"Evet");COUNTIFS(Event_Girdi!$C$2:$C;"&lt;="&amp;B27+4;Event_Girdi!$D$2:$D;"&gt;="&amp;B27+4;Event_Girdi!$G$2:$G;"Evet");COUNTIFS(Event_Girdi!$C$2:$C;"&lt;="&amp;B27+5;Event_Girdi!$D$2:$D;"&gt;="&amp;B27+5;Event_Girdi!$G$2:$G;"Evet");COUNTIFS(Event_Girdi!$C$2:$C;"&lt;="&amp;B27+6;Event_Girdi!$D$2:$D;"&gt;="&amp;B27+6;Event_Girdi!$G$2:$G;"Evet")))</f>
      </c>
      <c r="G27">
        <f>IF(B27="";"";IFERROR(INDEX(SORT(FILTER(Event_Girdi!$A$2:$E;Event_Girdi!$G$2:$G="Evet";Event_Girdi!$C$2:$C&lt;=B27;Event_Girdi!$D$2:$D&gt;=B27);5;TRUE;3;TRUE;1;TRUE);1;1);""))</f>
      </c>
      <c r="H27">
        <f>IF(B27="";"";IFERROR(INDEX(SORT(FILTER(Event_Girdi!$A$2:$F;Event_Girdi!$G$2:$G="Evet";Event_Girdi!$F$2:$F="Evet";Event_Girdi!$C$2:$C&lt;=B27;Event_Girdi!$D$2:$D&gt;=B27);3;TRUE;1;TRUE);1;1);G27))</f>
      </c>
      <c r="I27">
        <f>IF(B27="";"";IFERROR(TEXTJOIN(" &gt; ";TRUE;INDEX(SORT(FILTER(Event_Girdi!$A$2:$H;Event_Girdi!$G$2:$G="Evet";Event_Girdi!$C$2:$C&lt;=B27;Event_Girdi!$D$2:$D&gt;=B27);8;TRUE;5;TRUE;3;TRUE;1;TRUE);;1));""))</f>
      </c>
      <c r="J27">
        <f>IF(B27="";"";IF(F27&gt;1;"Cakisiyor";"Normal"))</f>
      </c>
    </row>
    <row r="28">
      <c r="A28">
        <f>IF(B28="";"";"W"&amp;(ROW()-1))</f>
      </c>
      <c r="B28" s="1">
        <f>IF(B27="";"";IF(B27+7&lt;=MAX(FILTER(Event_Girdi!$D$2:$D;Event_Girdi!$G$2:$G="Evet"))+6;B27+7;""))</f>
      </c>
      <c r="C28" s="1">
        <f>IF(B28="";"";B28+6)</f>
      </c>
      <c r="D28">
        <f>IF(B28="";"";TEXT(B28;"dd mmm")&amp;" - "&amp;TEXT(C28;"dd mmm"))</f>
      </c>
      <c r="E28">
        <f>IF(B28="";"";IFERROR(TEXTJOIN("; ";TRUE;FILTER(Event_Girdi!$A$2:$A;Event_Girdi!$G$2:$G="Evet";Event_Girdi!$C$2:$C&lt;=C28;Event_Girdi!$D$2:$D&gt;=B28));""))</f>
      </c>
      <c r="F28">
        <f>IF(B28="";"";MAX(COUNTIFS(Event_Girdi!$C$2:$C;"&lt;="&amp;B28;Event_Girdi!$D$2:$D;"&gt;="&amp;B28;Event_Girdi!$G$2:$G;"Evet");COUNTIFS(Event_Girdi!$C$2:$C;"&lt;="&amp;B28+1;Event_Girdi!$D$2:$D;"&gt;="&amp;B28+1;Event_Girdi!$G$2:$G;"Evet");COUNTIFS(Event_Girdi!$C$2:$C;"&lt;="&amp;B28+2;Event_Girdi!$D$2:$D;"&gt;="&amp;B28+2;Event_Girdi!$G$2:$G;"Evet");COUNTIFS(Event_Girdi!$C$2:$C;"&lt;="&amp;B28+3;Event_Girdi!$D$2:$D;"&gt;="&amp;B28+3;Event_Girdi!$G$2:$G;"Evet");COUNTIFS(Event_Girdi!$C$2:$C;"&lt;="&amp;B28+4;Event_Girdi!$D$2:$D;"&gt;="&amp;B28+4;Event_Girdi!$G$2:$G;"Evet");COUNTIFS(Event_Girdi!$C$2:$C;"&lt;="&amp;B28+5;Event_Girdi!$D$2:$D;"&gt;="&amp;B28+5;Event_Girdi!$G$2:$G;"Evet");COUNTIFS(Event_Girdi!$C$2:$C;"&lt;="&amp;B28+6;Event_Girdi!$D$2:$D;"&gt;="&amp;B28+6;Event_Girdi!$G$2:$G;"Evet")))</f>
      </c>
      <c r="G28">
        <f>IF(B28="";"";IFERROR(INDEX(SORT(FILTER(Event_Girdi!$A$2:$E;Event_Girdi!$G$2:$G="Evet";Event_Girdi!$C$2:$C&lt;=B28;Event_Girdi!$D$2:$D&gt;=B28);5;TRUE;3;TRUE;1;TRUE);1;1);""))</f>
      </c>
      <c r="H28">
        <f>IF(B28="";"";IFERROR(INDEX(SORT(FILTER(Event_Girdi!$A$2:$F;Event_Girdi!$G$2:$G="Evet";Event_Girdi!$F$2:$F="Evet";Event_Girdi!$C$2:$C&lt;=B28;Event_Girdi!$D$2:$D&gt;=B28);3;TRUE;1;TRUE);1;1);G28))</f>
      </c>
      <c r="I28">
        <f>IF(B28="";"";IFERROR(TEXTJOIN(" &gt; ";TRUE;INDEX(SORT(FILTER(Event_Girdi!$A$2:$H;Event_Girdi!$G$2:$G="Evet";Event_Girdi!$C$2:$C&lt;=B28;Event_Girdi!$D$2:$D&gt;=B28);8;TRUE;5;TRUE;3;TRUE;1;TRUE);;1));""))</f>
      </c>
      <c r="J28">
        <f>IF(B28="";"";IF(F28&gt;1;"Cakisiyor";"Normal"))</f>
      </c>
    </row>
    <row r="29">
      <c r="A29">
        <f>IF(B29="";"";"W"&amp;(ROW()-1))</f>
      </c>
      <c r="B29" s="1">
        <f>IF(B28="";"";IF(B28+7&lt;=MAX(FILTER(Event_Girdi!$D$2:$D;Event_Girdi!$G$2:$G="Evet"))+6;B28+7;""))</f>
      </c>
      <c r="C29" s="1">
        <f>IF(B29="";"";B29+6)</f>
      </c>
      <c r="D29">
        <f>IF(B29="";"";TEXT(B29;"dd mmm")&amp;" - "&amp;TEXT(C29;"dd mmm"))</f>
      </c>
      <c r="E29">
        <f>IF(B29="";"";IFERROR(TEXTJOIN("; ";TRUE;FILTER(Event_Girdi!$A$2:$A;Event_Girdi!$G$2:$G="Evet";Event_Girdi!$C$2:$C&lt;=C29;Event_Girdi!$D$2:$D&gt;=B29));""))</f>
      </c>
      <c r="F29">
        <f>IF(B29="";"";MAX(COUNTIFS(Event_Girdi!$C$2:$C;"&lt;="&amp;B29;Event_Girdi!$D$2:$D;"&gt;="&amp;B29;Event_Girdi!$G$2:$G;"Evet");COUNTIFS(Event_Girdi!$C$2:$C;"&lt;="&amp;B29+1;Event_Girdi!$D$2:$D;"&gt;="&amp;B29+1;Event_Girdi!$G$2:$G;"Evet");COUNTIFS(Event_Girdi!$C$2:$C;"&lt;="&amp;B29+2;Event_Girdi!$D$2:$D;"&gt;="&amp;B29+2;Event_Girdi!$G$2:$G;"Evet");COUNTIFS(Event_Girdi!$C$2:$C;"&lt;="&amp;B29+3;Event_Girdi!$D$2:$D;"&gt;="&amp;B29+3;Event_Girdi!$G$2:$G;"Evet");COUNTIFS(Event_Girdi!$C$2:$C;"&lt;="&amp;B29+4;Event_Girdi!$D$2:$D;"&gt;="&amp;B29+4;Event_Girdi!$G$2:$G;"Evet");COUNTIFS(Event_Girdi!$C$2:$C;"&lt;="&amp;B29+5;Event_Girdi!$D$2:$D;"&gt;="&amp;B29+5;Event_Girdi!$G$2:$G;"Evet");COUNTIFS(Event_Girdi!$C$2:$C;"&lt;="&amp;B29+6;Event_Girdi!$D$2:$D;"&gt;="&amp;B29+6;Event_Girdi!$G$2:$G;"Evet")))</f>
      </c>
      <c r="G29">
        <f>IF(B29="";"";IFERROR(INDEX(SORT(FILTER(Event_Girdi!$A$2:$E;Event_Girdi!$G$2:$G="Evet";Event_Girdi!$C$2:$C&lt;=B29;Event_Girdi!$D$2:$D&gt;=B29);5;TRUE;3;TRUE;1;TRUE);1;1);""))</f>
      </c>
      <c r="H29">
        <f>IF(B29="";"";IFERROR(INDEX(SORT(FILTER(Event_Girdi!$A$2:$F;Event_Girdi!$G$2:$G="Evet";Event_Girdi!$F$2:$F="Evet";Event_Girdi!$C$2:$C&lt;=B29;Event_Girdi!$D$2:$D&gt;=B29);3;TRUE;1;TRUE);1;1);G29))</f>
      </c>
      <c r="I29">
        <f>IF(B29="";"";IFERROR(TEXTJOIN(" &gt; ";TRUE;INDEX(SORT(FILTER(Event_Girdi!$A$2:$H;Event_Girdi!$G$2:$G="Evet";Event_Girdi!$C$2:$C&lt;=B29;Event_Girdi!$D$2:$D&gt;=B29);8;TRUE;5;TRUE;3;TRUE;1;TRUE);;1));""))</f>
      </c>
      <c r="J29">
        <f>IF(B29="";"";IF(F29&gt;1;"Cakisiyor";"Normal"))</f>
      </c>
    </row>
    <row r="30">
      <c r="A30">
        <f>IF(B30="";"";"W"&amp;(ROW()-1))</f>
      </c>
      <c r="B30" s="1">
        <f>IF(B29="";"";IF(B29+7&lt;=MAX(FILTER(Event_Girdi!$D$2:$D;Event_Girdi!$G$2:$G="Evet"))+6;B29+7;""))</f>
      </c>
      <c r="C30" s="1">
        <f>IF(B30="";"";B30+6)</f>
      </c>
      <c r="D30">
        <f>IF(B30="";"";TEXT(B30;"dd mmm")&amp;" - "&amp;TEXT(C30;"dd mmm"))</f>
      </c>
      <c r="E30">
        <f>IF(B30="";"";IFERROR(TEXTJOIN("; ";TRUE;FILTER(Event_Girdi!$A$2:$A;Event_Girdi!$G$2:$G="Evet";Event_Girdi!$C$2:$C&lt;=C30;Event_Girdi!$D$2:$D&gt;=B30));""))</f>
      </c>
      <c r="F30">
        <f>IF(B30="";"";MAX(COUNTIFS(Event_Girdi!$C$2:$C;"&lt;="&amp;B30;Event_Girdi!$D$2:$D;"&gt;="&amp;B30;Event_Girdi!$G$2:$G;"Evet");COUNTIFS(Event_Girdi!$C$2:$C;"&lt;="&amp;B30+1;Event_Girdi!$D$2:$D;"&gt;="&amp;B30+1;Event_Girdi!$G$2:$G;"Evet");COUNTIFS(Event_Girdi!$C$2:$C;"&lt;="&amp;B30+2;Event_Girdi!$D$2:$D;"&gt;="&amp;B30+2;Event_Girdi!$G$2:$G;"Evet");COUNTIFS(Event_Girdi!$C$2:$C;"&lt;="&amp;B30+3;Event_Girdi!$D$2:$D;"&gt;="&amp;B30+3;Event_Girdi!$G$2:$G;"Evet");COUNTIFS(Event_Girdi!$C$2:$C;"&lt;="&amp;B30+4;Event_Girdi!$D$2:$D;"&gt;="&amp;B30+4;Event_Girdi!$G$2:$G;"Evet");COUNTIFS(Event_Girdi!$C$2:$C;"&lt;="&amp;B30+5;Event_Girdi!$D$2:$D;"&gt;="&amp;B30+5;Event_Girdi!$G$2:$G;"Evet");COUNTIFS(Event_Girdi!$C$2:$C;"&lt;="&amp;B30+6;Event_Girdi!$D$2:$D;"&gt;="&amp;B30+6;Event_Girdi!$G$2:$G;"Evet")))</f>
      </c>
      <c r="G30">
        <f>IF(B30="";"";IFERROR(INDEX(SORT(FILTER(Event_Girdi!$A$2:$E;Event_Girdi!$G$2:$G="Evet";Event_Girdi!$C$2:$C&lt;=B30;Event_Girdi!$D$2:$D&gt;=B30);5;TRUE;3;TRUE;1;TRUE);1;1);""))</f>
      </c>
      <c r="H30">
        <f>IF(B30="";"";IFERROR(INDEX(SORT(FILTER(Event_Girdi!$A$2:$F;Event_Girdi!$G$2:$G="Evet";Event_Girdi!$F$2:$F="Evet";Event_Girdi!$C$2:$C&lt;=B30;Event_Girdi!$D$2:$D&gt;=B30);3;TRUE;1;TRUE);1;1);G30))</f>
      </c>
      <c r="I30">
        <f>IF(B30="";"";IFERROR(TEXTJOIN(" &gt; ";TRUE;INDEX(SORT(FILTER(Event_Girdi!$A$2:$H;Event_Girdi!$G$2:$G="Evet";Event_Girdi!$C$2:$C&lt;=B30;Event_Girdi!$D$2:$D&gt;=B30);8;TRUE;5;TRUE;3;TRUE;1;TRUE);;1));""))</f>
      </c>
      <c r="J30">
        <f>IF(B30="";"";IF(F30&gt;1;"Cakisiyor";"Normal"))</f>
      </c>
    </row>
    <row r="31">
      <c r="A31">
        <f>IF(B31="";"";"W"&amp;(ROW()-1))</f>
      </c>
      <c r="B31" s="1">
        <f>IF(B30="";"";IF(B30+7&lt;=MAX(FILTER(Event_Girdi!$D$2:$D;Event_Girdi!$G$2:$G="Evet"))+6;B30+7;""))</f>
      </c>
      <c r="C31" s="1">
        <f>IF(B31="";"";B31+6)</f>
      </c>
      <c r="D31">
        <f>IF(B31="";"";TEXT(B31;"dd mmm")&amp;" - "&amp;TEXT(C31;"dd mmm"))</f>
      </c>
      <c r="E31">
        <f>IF(B31="";"";IFERROR(TEXTJOIN("; ";TRUE;FILTER(Event_Girdi!$A$2:$A;Event_Girdi!$G$2:$G="Evet";Event_Girdi!$C$2:$C&lt;=C31;Event_Girdi!$D$2:$D&gt;=B31));""))</f>
      </c>
      <c r="F31">
        <f>IF(B31="";"";MAX(COUNTIFS(Event_Girdi!$C$2:$C;"&lt;="&amp;B31;Event_Girdi!$D$2:$D;"&gt;="&amp;B31;Event_Girdi!$G$2:$G;"Evet");COUNTIFS(Event_Girdi!$C$2:$C;"&lt;="&amp;B31+1;Event_Girdi!$D$2:$D;"&gt;="&amp;B31+1;Event_Girdi!$G$2:$G;"Evet");COUNTIFS(Event_Girdi!$C$2:$C;"&lt;="&amp;B31+2;Event_Girdi!$D$2:$D;"&gt;="&amp;B31+2;Event_Girdi!$G$2:$G;"Evet");COUNTIFS(Event_Girdi!$C$2:$C;"&lt;="&amp;B31+3;Event_Girdi!$D$2:$D;"&gt;="&amp;B31+3;Event_Girdi!$G$2:$G;"Evet");COUNTIFS(Event_Girdi!$C$2:$C;"&lt;="&amp;B31+4;Event_Girdi!$D$2:$D;"&gt;="&amp;B31+4;Event_Girdi!$G$2:$G;"Evet");COUNTIFS(Event_Girdi!$C$2:$C;"&lt;="&amp;B31+5;Event_Girdi!$D$2:$D;"&gt;="&amp;B31+5;Event_Girdi!$G$2:$G;"Evet");COUNTIFS(Event_Girdi!$C$2:$C;"&lt;="&amp;B31+6;Event_Girdi!$D$2:$D;"&gt;="&amp;B31+6;Event_Girdi!$G$2:$G;"Evet")))</f>
      </c>
      <c r="G31">
        <f>IF(B31="";"";IFERROR(INDEX(SORT(FILTER(Event_Girdi!$A$2:$E;Event_Girdi!$G$2:$G="Evet";Event_Girdi!$C$2:$C&lt;=B31;Event_Girdi!$D$2:$D&gt;=B31);5;TRUE;3;TRUE;1;TRUE);1;1);""))</f>
      </c>
      <c r="H31">
        <f>IF(B31="";"";IFERROR(INDEX(SORT(FILTER(Event_Girdi!$A$2:$F;Event_Girdi!$G$2:$G="Evet";Event_Girdi!$F$2:$F="Evet";Event_Girdi!$C$2:$C&lt;=B31;Event_Girdi!$D$2:$D&gt;=B31);3;TRUE;1;TRUE);1;1);G31))</f>
      </c>
      <c r="I31">
        <f>IF(B31="";"";IFERROR(TEXTJOIN(" &gt; ";TRUE;INDEX(SORT(FILTER(Event_Girdi!$A$2:$H;Event_Girdi!$G$2:$G="Evet";Event_Girdi!$C$2:$C&lt;=B31;Event_Girdi!$D$2:$D&gt;=B31);8;TRUE;5;TRUE;3;TRUE;1;TRUE);;1));""))</f>
      </c>
      <c r="J31">
        <f>IF(B31="";"";IF(F31&gt;1;"Cakisiyor";"Normal"))</f>
      </c>
    </row>
  </sheetData>
</worksheet>
</file>

<file path=xl/worksheets/sheet3.xml><?xml version="1.0" encoding="utf-8"?>
<worksheet xmlns="http://schemas.openxmlformats.org/spreadsheetml/2006/main">
  <dimension ref="A1:W54"/>
  <sheetData>
    <row r="1">
      <c r="A1" t="inlineStr">
        <is>
          <t>DENEME EVENT - Haftalik Dashboard</t>
        </is>
      </c>
    </row>
    <row r="3">
      <c r="A3" t="inlineStr">
        <is>
          <t>Toplam Event</t>
        </is>
      </c>
      <c r="B3">
        <f>COUNTA(FILTER(Event_Girdi!$A$2:$A;Event_Girdi!$G$2:$G="Evet"))</f>
      </c>
    </row>
    <row r="4">
      <c r="A4" t="inlineStr">
        <is>
          <t>Toplam Hafta</t>
        </is>
      </c>
      <c r="B4">
        <f>COUNTA(FILTER(Hafta_Ozet!$A$2:$A;Hafta_Ozet!$A$2:$A&lt;&gt;""))</f>
      </c>
    </row>
    <row r="5">
      <c r="A5" t="inlineStr">
        <is>
          <t>Peak Cakisma</t>
        </is>
      </c>
      <c r="B5">
        <f>IFERROR(MAX(FILTER(Hafta_Ozet!$F$2:$F;Hafta_Ozet!$F$2:$F&lt;&gt;""));0)</f>
      </c>
    </row>
    <row r="6">
      <c r="A6" t="inlineStr">
        <is>
          <t>Cakisan Hafta</t>
        </is>
      </c>
      <c r="B6">
        <f>COUNTIF(Hafta_Ozet!$F$2:$F;"&gt;1")</f>
      </c>
    </row>
    <row r="8">
      <c r="A8" t="inlineStr">
        <is>
          <t>Hafta</t>
        </is>
      </c>
      <c r="B8" t="inlineStr">
        <is>
          <t>Tarih_Araligi</t>
        </is>
      </c>
      <c r="C8" t="inlineStr">
        <is>
          <t>Aktif_Eventler</t>
        </is>
      </c>
      <c r="D8" t="inlineStr">
        <is>
          <t>Cakisma_Max</t>
        </is>
      </c>
      <c r="E8" t="inlineStr">
        <is>
          <t>Winner_Organik</t>
        </is>
      </c>
      <c r="F8" t="inlineStr">
        <is>
          <t>Winner_Deeplink</t>
        </is>
      </c>
      <c r="G8" t="inlineStr">
        <is>
          <t>Queue</t>
        </is>
      </c>
      <c r="H8" t="inlineStr">
        <is>
          <t>Durum</t>
        </is>
      </c>
    </row>
    <row r="9">
      <c r="A9">
        <f>IF(Hafta_Ozet!A2="";"";Hafta_Ozet!A2)</f>
      </c>
      <c r="B9">
        <f>IF(A9="";"";Hafta_Ozet!D2)</f>
      </c>
      <c r="C9">
        <f>IF(A9="";"";Hafta_Ozet!E2)</f>
      </c>
      <c r="D9">
        <f>IF(A9="";"";Hafta_Ozet!F2)</f>
      </c>
      <c r="E9">
        <f>IF(A9="";"";Hafta_Ozet!G2)</f>
      </c>
      <c r="F9">
        <f>IF(A9="";"";Hafta_Ozet!H2)</f>
      </c>
      <c r="G9">
        <f>IF(A9="";"";Hafta_Ozet!I2)</f>
      </c>
      <c r="H9">
        <f>IF(A9="";"";Hafta_Ozet!J2)</f>
      </c>
    </row>
    <row r="10">
      <c r="A10">
        <f>IF(Hafta_Ozet!A3="";"";Hafta_Ozet!A3)</f>
      </c>
      <c r="B10">
        <f>IF(A10="";"";Hafta_Ozet!D3)</f>
      </c>
      <c r="C10">
        <f>IF(A10="";"";Hafta_Ozet!E3)</f>
      </c>
      <c r="D10">
        <f>IF(A10="";"";Hafta_Ozet!F3)</f>
      </c>
      <c r="E10">
        <f>IF(A10="";"";Hafta_Ozet!G3)</f>
      </c>
      <c r="F10">
        <f>IF(A10="";"";Hafta_Ozet!H3)</f>
      </c>
      <c r="G10">
        <f>IF(A10="";"";Hafta_Ozet!I3)</f>
      </c>
      <c r="H10">
        <f>IF(A10="";"";Hafta_Ozet!J3)</f>
      </c>
    </row>
    <row r="11">
      <c r="A11">
        <f>IF(Hafta_Ozet!A4="";"";Hafta_Ozet!A4)</f>
      </c>
      <c r="B11">
        <f>IF(A11="";"";Hafta_Ozet!D4)</f>
      </c>
      <c r="C11">
        <f>IF(A11="";"";Hafta_Ozet!E4)</f>
      </c>
      <c r="D11">
        <f>IF(A11="";"";Hafta_Ozet!F4)</f>
      </c>
      <c r="E11">
        <f>IF(A11="";"";Hafta_Ozet!G4)</f>
      </c>
      <c r="F11">
        <f>IF(A11="";"";Hafta_Ozet!H4)</f>
      </c>
      <c r="G11">
        <f>IF(A11="";"";Hafta_Ozet!I4)</f>
      </c>
      <c r="H11">
        <f>IF(A11="";"";Hafta_Ozet!J4)</f>
      </c>
    </row>
    <row r="12">
      <c r="A12">
        <f>IF(Hafta_Ozet!A5="";"";Hafta_Ozet!A5)</f>
      </c>
      <c r="B12">
        <f>IF(A12="";"";Hafta_Ozet!D5)</f>
      </c>
      <c r="C12">
        <f>IF(A12="";"";Hafta_Ozet!E5)</f>
      </c>
      <c r="D12">
        <f>IF(A12="";"";Hafta_Ozet!F5)</f>
      </c>
      <c r="E12">
        <f>IF(A12="";"";Hafta_Ozet!G5)</f>
      </c>
      <c r="F12">
        <f>IF(A12="";"";Hafta_Ozet!H5)</f>
      </c>
      <c r="G12">
        <f>IF(A12="";"";Hafta_Ozet!I5)</f>
      </c>
      <c r="H12">
        <f>IF(A12="";"";Hafta_Ozet!J5)</f>
      </c>
    </row>
    <row r="13">
      <c r="A13">
        <f>IF(Hafta_Ozet!A6="";"";Hafta_Ozet!A6)</f>
      </c>
      <c r="B13">
        <f>IF(A13="";"";Hafta_Ozet!D6)</f>
      </c>
      <c r="C13">
        <f>IF(A13="";"";Hafta_Ozet!E6)</f>
      </c>
      <c r="D13">
        <f>IF(A13="";"";Hafta_Ozet!F6)</f>
      </c>
      <c r="E13">
        <f>IF(A13="";"";Hafta_Ozet!G6)</f>
      </c>
      <c r="F13">
        <f>IF(A13="";"";Hafta_Ozet!H6)</f>
      </c>
      <c r="G13">
        <f>IF(A13="";"";Hafta_Ozet!I6)</f>
      </c>
      <c r="H13">
        <f>IF(A13="";"";Hafta_Ozet!J6)</f>
      </c>
    </row>
    <row r="14">
      <c r="A14">
        <f>IF(Hafta_Ozet!A7="";"";Hafta_Ozet!A7)</f>
      </c>
      <c r="B14">
        <f>IF(A14="";"";Hafta_Ozet!D7)</f>
      </c>
      <c r="C14">
        <f>IF(A14="";"";Hafta_Ozet!E7)</f>
      </c>
      <c r="D14">
        <f>IF(A14="";"";Hafta_Ozet!F7)</f>
      </c>
      <c r="E14">
        <f>IF(A14="";"";Hafta_Ozet!G7)</f>
      </c>
      <c r="F14">
        <f>IF(A14="";"";Hafta_Ozet!H7)</f>
      </c>
      <c r="G14">
        <f>IF(A14="";"";Hafta_Ozet!I7)</f>
      </c>
      <c r="H14">
        <f>IF(A14="";"";Hafta_Ozet!J7)</f>
      </c>
    </row>
    <row r="15">
      <c r="A15">
        <f>IF(Hafta_Ozet!A8="";"";Hafta_Ozet!A8)</f>
      </c>
      <c r="B15">
        <f>IF(A15="";"";Hafta_Ozet!D8)</f>
      </c>
      <c r="C15">
        <f>IF(A15="";"";Hafta_Ozet!E8)</f>
      </c>
      <c r="D15">
        <f>IF(A15="";"";Hafta_Ozet!F8)</f>
      </c>
      <c r="E15">
        <f>IF(A15="";"";Hafta_Ozet!G8)</f>
      </c>
      <c r="F15">
        <f>IF(A15="";"";Hafta_Ozet!H8)</f>
      </c>
      <c r="G15">
        <f>IF(A15="";"";Hafta_Ozet!I8)</f>
      </c>
      <c r="H15">
        <f>IF(A15="";"";Hafta_Ozet!J8)</f>
      </c>
    </row>
    <row r="16">
      <c r="A16">
        <f>IF(Hafta_Ozet!A9="";"";Hafta_Ozet!A9)</f>
      </c>
      <c r="B16">
        <f>IF(A16="";"";Hafta_Ozet!D9)</f>
      </c>
      <c r="C16">
        <f>IF(A16="";"";Hafta_Ozet!E9)</f>
      </c>
      <c r="D16">
        <f>IF(A16="";"";Hafta_Ozet!F9)</f>
      </c>
      <c r="E16">
        <f>IF(A16="";"";Hafta_Ozet!G9)</f>
      </c>
      <c r="F16">
        <f>IF(A16="";"";Hafta_Ozet!H9)</f>
      </c>
      <c r="G16">
        <f>IF(A16="";"";Hafta_Ozet!I9)</f>
      </c>
      <c r="H16">
        <f>IF(A16="";"";Hafta_Ozet!J9)</f>
      </c>
    </row>
    <row r="17">
      <c r="A17">
        <f>IF(Hafta_Ozet!A10="";"";Hafta_Ozet!A10)</f>
      </c>
      <c r="B17">
        <f>IF(A17="";"";Hafta_Ozet!D10)</f>
      </c>
      <c r="C17">
        <f>IF(A17="";"";Hafta_Ozet!E10)</f>
      </c>
      <c r="D17">
        <f>IF(A17="";"";Hafta_Ozet!F10)</f>
      </c>
      <c r="E17">
        <f>IF(A17="";"";Hafta_Ozet!G10)</f>
      </c>
      <c r="F17">
        <f>IF(A17="";"";Hafta_Ozet!H10)</f>
      </c>
      <c r="G17">
        <f>IF(A17="";"";Hafta_Ozet!I10)</f>
      </c>
      <c r="H17">
        <f>IF(A17="";"";Hafta_Ozet!J10)</f>
      </c>
    </row>
    <row r="18">
      <c r="A18">
        <f>IF(Hafta_Ozet!A11="";"";Hafta_Ozet!A11)</f>
      </c>
      <c r="B18">
        <f>IF(A18="";"";Hafta_Ozet!D11)</f>
      </c>
      <c r="C18">
        <f>IF(A18="";"";Hafta_Ozet!E11)</f>
      </c>
      <c r="D18">
        <f>IF(A18="";"";Hafta_Ozet!F11)</f>
      </c>
      <c r="E18">
        <f>IF(A18="";"";Hafta_Ozet!G11)</f>
      </c>
      <c r="F18">
        <f>IF(A18="";"";Hafta_Ozet!H11)</f>
      </c>
      <c r="G18">
        <f>IF(A18="";"";Hafta_Ozet!I11)</f>
      </c>
      <c r="H18">
        <f>IF(A18="";"";Hafta_Ozet!J11)</f>
      </c>
    </row>
    <row r="19">
      <c r="A19">
        <f>IF(Hafta_Ozet!A12="";"";Hafta_Ozet!A12)</f>
      </c>
      <c r="B19">
        <f>IF(A19="";"";Hafta_Ozet!D12)</f>
      </c>
      <c r="C19">
        <f>IF(A19="";"";Hafta_Ozet!E12)</f>
      </c>
      <c r="D19">
        <f>IF(A19="";"";Hafta_Ozet!F12)</f>
      </c>
      <c r="E19">
        <f>IF(A19="";"";Hafta_Ozet!G12)</f>
      </c>
      <c r="F19">
        <f>IF(A19="";"";Hafta_Ozet!H12)</f>
      </c>
      <c r="G19">
        <f>IF(A19="";"";Hafta_Ozet!I12)</f>
      </c>
      <c r="H19">
        <f>IF(A19="";"";Hafta_Ozet!J12)</f>
      </c>
    </row>
    <row r="20">
      <c r="A20">
        <f>IF(Hafta_Ozet!A13="";"";Hafta_Ozet!A13)</f>
      </c>
      <c r="B20">
        <f>IF(A20="";"";Hafta_Ozet!D13)</f>
      </c>
      <c r="C20">
        <f>IF(A20="";"";Hafta_Ozet!E13)</f>
      </c>
      <c r="D20">
        <f>IF(A20="";"";Hafta_Ozet!F13)</f>
      </c>
      <c r="E20">
        <f>IF(A20="";"";Hafta_Ozet!G13)</f>
      </c>
      <c r="F20">
        <f>IF(A20="";"";Hafta_Ozet!H13)</f>
      </c>
      <c r="G20">
        <f>IF(A20="";"";Hafta_Ozet!I13)</f>
      </c>
      <c r="H20">
        <f>IF(A20="";"";Hafta_Ozet!J13)</f>
      </c>
    </row>
    <row r="21">
      <c r="A21">
        <f>IF(Hafta_Ozet!A14="";"";Hafta_Ozet!A14)</f>
      </c>
      <c r="B21">
        <f>IF(A21="";"";Hafta_Ozet!D14)</f>
      </c>
      <c r="C21">
        <f>IF(A21="";"";Hafta_Ozet!E14)</f>
      </c>
      <c r="D21">
        <f>IF(A21="";"";Hafta_Ozet!F14)</f>
      </c>
      <c r="E21">
        <f>IF(A21="";"";Hafta_Ozet!G14)</f>
      </c>
      <c r="F21">
        <f>IF(A21="";"";Hafta_Ozet!H14)</f>
      </c>
      <c r="G21">
        <f>IF(A21="";"";Hafta_Ozet!I14)</f>
      </c>
      <c r="H21">
        <f>IF(A21="";"";Hafta_Ozet!J14)</f>
      </c>
    </row>
    <row r="22">
      <c r="A22">
        <f>IF(Hafta_Ozet!A15="";"";Hafta_Ozet!A15)</f>
      </c>
      <c r="B22">
        <f>IF(A22="";"";Hafta_Ozet!D15)</f>
      </c>
      <c r="C22">
        <f>IF(A22="";"";Hafta_Ozet!E15)</f>
      </c>
      <c r="D22">
        <f>IF(A22="";"";Hafta_Ozet!F15)</f>
      </c>
      <c r="E22">
        <f>IF(A22="";"";Hafta_Ozet!G15)</f>
      </c>
      <c r="F22">
        <f>IF(A22="";"";Hafta_Ozet!H15)</f>
      </c>
      <c r="G22">
        <f>IF(A22="";"";Hafta_Ozet!I15)</f>
      </c>
      <c r="H22">
        <f>IF(A22="";"";Hafta_Ozet!J15)</f>
      </c>
    </row>
    <row r="23">
      <c r="A23">
        <f>IF(Hafta_Ozet!A16="";"";Hafta_Ozet!A16)</f>
      </c>
      <c r="B23">
        <f>IF(A23="";"";Hafta_Ozet!D16)</f>
      </c>
      <c r="C23">
        <f>IF(A23="";"";Hafta_Ozet!E16)</f>
      </c>
      <c r="D23">
        <f>IF(A23="";"";Hafta_Ozet!F16)</f>
      </c>
      <c r="E23">
        <f>IF(A23="";"";Hafta_Ozet!G16)</f>
      </c>
      <c r="F23">
        <f>IF(A23="";"";Hafta_Ozet!H16)</f>
      </c>
      <c r="G23">
        <f>IF(A23="";"";Hafta_Ozet!I16)</f>
      </c>
      <c r="H23">
        <f>IF(A23="";"";Hafta_Ozet!J16)</f>
      </c>
    </row>
    <row r="24">
      <c r="A24">
        <f>IF(Hafta_Ozet!A17="";"";Hafta_Ozet!A17)</f>
      </c>
      <c r="B24">
        <f>IF(A24="";"";Hafta_Ozet!D17)</f>
      </c>
      <c r="C24">
        <f>IF(A24="";"";Hafta_Ozet!E17)</f>
      </c>
      <c r="D24">
        <f>IF(A24="";"";Hafta_Ozet!F17)</f>
      </c>
      <c r="E24">
        <f>IF(A24="";"";Hafta_Ozet!G17)</f>
      </c>
      <c r="F24">
        <f>IF(A24="";"";Hafta_Ozet!H17)</f>
      </c>
      <c r="G24">
        <f>IF(A24="";"";Hafta_Ozet!I17)</f>
      </c>
      <c r="H24">
        <f>IF(A24="";"";Hafta_Ozet!J17)</f>
      </c>
    </row>
    <row r="25">
      <c r="A25">
        <f>IF(Hafta_Ozet!A18="";"";Hafta_Ozet!A18)</f>
      </c>
      <c r="B25">
        <f>IF(A25="";"";Hafta_Ozet!D18)</f>
      </c>
      <c r="C25">
        <f>IF(A25="";"";Hafta_Ozet!E18)</f>
      </c>
      <c r="D25">
        <f>IF(A25="";"";Hafta_Ozet!F18)</f>
      </c>
      <c r="E25">
        <f>IF(A25="";"";Hafta_Ozet!G18)</f>
      </c>
      <c r="F25">
        <f>IF(A25="";"";Hafta_Ozet!H18)</f>
      </c>
      <c r="G25">
        <f>IF(A25="";"";Hafta_Ozet!I18)</f>
      </c>
      <c r="H25">
        <f>IF(A25="";"";Hafta_Ozet!J18)</f>
      </c>
    </row>
    <row r="26">
      <c r="A26">
        <f>IF(Hafta_Ozet!A19="";"";Hafta_Ozet!A19)</f>
      </c>
      <c r="B26">
        <f>IF(A26="";"";Hafta_Ozet!D19)</f>
      </c>
      <c r="C26">
        <f>IF(A26="";"";Hafta_Ozet!E19)</f>
      </c>
      <c r="D26">
        <f>IF(A26="";"";Hafta_Ozet!F19)</f>
      </c>
      <c r="E26">
        <f>IF(A26="";"";Hafta_Ozet!G19)</f>
      </c>
      <c r="F26">
        <f>IF(A26="";"";Hafta_Ozet!H19)</f>
      </c>
      <c r="G26">
        <f>IF(A26="";"";Hafta_Ozet!I19)</f>
      </c>
      <c r="H26">
        <f>IF(A26="";"";Hafta_Ozet!J19)</f>
      </c>
    </row>
    <row r="27">
      <c r="A27">
        <f>IF(Hafta_Ozet!A20="";"";Hafta_Ozet!A20)</f>
      </c>
      <c r="B27">
        <f>IF(A27="";"";Hafta_Ozet!D20)</f>
      </c>
      <c r="C27">
        <f>IF(A27="";"";Hafta_Ozet!E20)</f>
      </c>
      <c r="D27">
        <f>IF(A27="";"";Hafta_Ozet!F20)</f>
      </c>
      <c r="E27">
        <f>IF(A27="";"";Hafta_Ozet!G20)</f>
      </c>
      <c r="F27">
        <f>IF(A27="";"";Hafta_Ozet!H20)</f>
      </c>
      <c r="G27">
        <f>IF(A27="";"";Hafta_Ozet!I20)</f>
      </c>
      <c r="H27">
        <f>IF(A27="";"";Hafta_Ozet!J20)</f>
      </c>
    </row>
    <row r="28">
      <c r="A28">
        <f>IF(Hafta_Ozet!A21="";"";Hafta_Ozet!A21)</f>
      </c>
      <c r="B28">
        <f>IF(A28="";"";Hafta_Ozet!D21)</f>
      </c>
      <c r="C28">
        <f>IF(A28="";"";Hafta_Ozet!E21)</f>
      </c>
      <c r="D28">
        <f>IF(A28="";"";Hafta_Ozet!F21)</f>
      </c>
      <c r="E28">
        <f>IF(A28="";"";Hafta_Ozet!G21)</f>
      </c>
      <c r="F28">
        <f>IF(A28="";"";Hafta_Ozet!H21)</f>
      </c>
      <c r="G28">
        <f>IF(A28="";"";Hafta_Ozet!I21)</f>
      </c>
      <c r="H28">
        <f>IF(A28="";"";Hafta_Ozet!J21)</f>
      </c>
    </row>
    <row r="31">
      <c r="A31" t="inlineStr">
        <is>
          <t>Event_ID</t>
        </is>
      </c>
      <c r="B31" t="inlineStr">
        <is>
          <t>Event_Adi</t>
        </is>
      </c>
      <c r="C31" t="inlineStr">
        <is>
          <t>Priority</t>
        </is>
      </c>
      <c r="D31">
        <f>IF(Hafta_Ozet!A2="";"";Hafta_Ozet!A2&amp;" "&amp;Hafta_Ozet!D2)</f>
      </c>
      <c r="E31">
        <f>IF(Hafta_Ozet!A3="";"";Hafta_Ozet!A3&amp;" "&amp;Hafta_Ozet!D3)</f>
      </c>
      <c r="F31">
        <f>IF(Hafta_Ozet!A4="";"";Hafta_Ozet!A4&amp;" "&amp;Hafta_Ozet!D4)</f>
      </c>
      <c r="G31">
        <f>IF(Hafta_Ozet!A5="";"";Hafta_Ozet!A5&amp;" "&amp;Hafta_Ozet!D5)</f>
      </c>
      <c r="H31">
        <f>IF(Hafta_Ozet!A6="";"";Hafta_Ozet!A6&amp;" "&amp;Hafta_Ozet!D6)</f>
      </c>
      <c r="I31">
        <f>IF(Hafta_Ozet!A7="";"";Hafta_Ozet!A7&amp;" "&amp;Hafta_Ozet!D7)</f>
      </c>
      <c r="J31">
        <f>IF(Hafta_Ozet!A8="";"";Hafta_Ozet!A8&amp;" "&amp;Hafta_Ozet!D8)</f>
      </c>
      <c r="K31">
        <f>IF(Hafta_Ozet!A9="";"";Hafta_Ozet!A9&amp;" "&amp;Hafta_Ozet!D9)</f>
      </c>
      <c r="L31">
        <f>IF(Hafta_Ozet!A10="";"";Hafta_Ozet!A10&amp;" "&amp;Hafta_Ozet!D10)</f>
      </c>
      <c r="M31">
        <f>IF(Hafta_Ozet!A11="";"";Hafta_Ozet!A11&amp;" "&amp;Hafta_Ozet!D11)</f>
      </c>
      <c r="N31">
        <f>IF(Hafta_Ozet!A12="";"";Hafta_Ozet!A12&amp;" "&amp;Hafta_Ozet!D12)</f>
      </c>
      <c r="O31">
        <f>IF(Hafta_Ozet!A13="";"";Hafta_Ozet!A13&amp;" "&amp;Hafta_Ozet!D13)</f>
      </c>
      <c r="P31">
        <f>IF(Hafta_Ozet!A14="";"";Hafta_Ozet!A14&amp;" "&amp;Hafta_Ozet!D14)</f>
      </c>
      <c r="Q31">
        <f>IF(Hafta_Ozet!A15="";"";Hafta_Ozet!A15&amp;" "&amp;Hafta_Ozet!D15)</f>
      </c>
      <c r="R31">
        <f>IF(Hafta_Ozet!A16="";"";Hafta_Ozet!A16&amp;" "&amp;Hafta_Ozet!D16)</f>
      </c>
      <c r="S31">
        <f>IF(Hafta_Ozet!A17="";"";Hafta_Ozet!A17&amp;" "&amp;Hafta_Ozet!D17)</f>
      </c>
      <c r="T31">
        <f>IF(Hafta_Ozet!A18="";"";Hafta_Ozet!A18&amp;" "&amp;Hafta_Ozet!D18)</f>
      </c>
      <c r="U31">
        <f>IF(Hafta_Ozet!A19="";"";Hafta_Ozet!A19&amp;" "&amp;Hafta_Ozet!D19)</f>
      </c>
      <c r="V31">
        <f>IF(Hafta_Ozet!A20="";"";Hafta_Ozet!A20&amp;" "&amp;Hafta_Ozet!D20)</f>
      </c>
      <c r="W31">
        <f>IF(Hafta_Ozet!A21="";"";Hafta_Ozet!A21&amp;" "&amp;Hafta_Ozet!D21)</f>
      </c>
    </row>
    <row r="32">
      <c r="A32">
        <f>IFERROR(INDEX(FILTER(Event_Girdi!$A$2:$A;Event_Girdi!$G$2:$G="Evet");1);"")</f>
      </c>
      <c r="B32">
        <f>IF($A32="";"";INDEX(Event_Girdi!$B:$B;MATCH($A32;Event_Girdi!$A:$A;0)))</f>
      </c>
      <c r="C32">
        <f>IF($A32="";"";INDEX(Event_Girdi!$E:$E;MATCH($A32;Event_Girdi!$A:$A;0)))</f>
      </c>
      <c r="D32">
        <f>IF($A32="";"";IF(Hafta_Ozet!$B2="";"";IF(AND(INDEX(Event_Girdi!$C:$C;MATCH($A32;Event_Girdi!$A:$A;0))&lt;=Hafta_Ozet!$C2;INDEX(Event_Girdi!$D:$D;MATCH($A32;Event_Girdi!$A:$A;0))&gt;=Hafta_Ozet!$B2);"ACTIVE";"")))</f>
      </c>
      <c r="E32">
        <f>IF($A32="";"";IF(Hafta_Ozet!$B3="";"";IF(AND(INDEX(Event_Girdi!$C:$C;MATCH($A32;Event_Girdi!$A:$A;0))&lt;=Hafta_Ozet!$C3;INDEX(Event_Girdi!$D:$D;MATCH($A32;Event_Girdi!$A:$A;0))&gt;=Hafta_Ozet!$B3);"ACTIVE";"")))</f>
      </c>
      <c r="F32">
        <f>IF($A32="";"";IF(Hafta_Ozet!$B4="";"";IF(AND(INDEX(Event_Girdi!$C:$C;MATCH($A32;Event_Girdi!$A:$A;0))&lt;=Hafta_Ozet!$C4;INDEX(Event_Girdi!$D:$D;MATCH($A32;Event_Girdi!$A:$A;0))&gt;=Hafta_Ozet!$B4);"ACTIVE";"")))</f>
      </c>
      <c r="G32">
        <f>IF($A32="";"";IF(Hafta_Ozet!$B5="";"";IF(AND(INDEX(Event_Girdi!$C:$C;MATCH($A32;Event_Girdi!$A:$A;0))&lt;=Hafta_Ozet!$C5;INDEX(Event_Girdi!$D:$D;MATCH($A32;Event_Girdi!$A:$A;0))&gt;=Hafta_Ozet!$B5);"ACTIVE";"")))</f>
      </c>
      <c r="H32">
        <f>IF($A32="";"";IF(Hafta_Ozet!$B6="";"";IF(AND(INDEX(Event_Girdi!$C:$C;MATCH($A32;Event_Girdi!$A:$A;0))&lt;=Hafta_Ozet!$C6;INDEX(Event_Girdi!$D:$D;MATCH($A32;Event_Girdi!$A:$A;0))&gt;=Hafta_Ozet!$B6);"ACTIVE";"")))</f>
      </c>
      <c r="I32">
        <f>IF($A32="";"";IF(Hafta_Ozet!$B7="";"";IF(AND(INDEX(Event_Girdi!$C:$C;MATCH($A32;Event_Girdi!$A:$A;0))&lt;=Hafta_Ozet!$C7;INDEX(Event_Girdi!$D:$D;MATCH($A32;Event_Girdi!$A:$A;0))&gt;=Hafta_Ozet!$B7);"ACTIVE";"")))</f>
      </c>
      <c r="J32">
        <f>IF($A32="";"";IF(Hafta_Ozet!$B8="";"";IF(AND(INDEX(Event_Girdi!$C:$C;MATCH($A32;Event_Girdi!$A:$A;0))&lt;=Hafta_Ozet!$C8;INDEX(Event_Girdi!$D:$D;MATCH($A32;Event_Girdi!$A:$A;0))&gt;=Hafta_Ozet!$B8);"ACTIVE";"")))</f>
      </c>
      <c r="K32">
        <f>IF($A32="";"";IF(Hafta_Ozet!$B9="";"";IF(AND(INDEX(Event_Girdi!$C:$C;MATCH($A32;Event_Girdi!$A:$A;0))&lt;=Hafta_Ozet!$C9;INDEX(Event_Girdi!$D:$D;MATCH($A32;Event_Girdi!$A:$A;0))&gt;=Hafta_Ozet!$B9);"ACTIVE";"")))</f>
      </c>
      <c r="L32">
        <f>IF($A32="";"";IF(Hafta_Ozet!$B10="";"";IF(AND(INDEX(Event_Girdi!$C:$C;MATCH($A32;Event_Girdi!$A:$A;0))&lt;=Hafta_Ozet!$C10;INDEX(Event_Girdi!$D:$D;MATCH($A32;Event_Girdi!$A:$A;0))&gt;=Hafta_Ozet!$B10);"ACTIVE";"")))</f>
      </c>
      <c r="M32">
        <f>IF($A32="";"";IF(Hafta_Ozet!$B11="";"";IF(AND(INDEX(Event_Girdi!$C:$C;MATCH($A32;Event_Girdi!$A:$A;0))&lt;=Hafta_Ozet!$C11;INDEX(Event_Girdi!$D:$D;MATCH($A32;Event_Girdi!$A:$A;0))&gt;=Hafta_Ozet!$B11);"ACTIVE";"")))</f>
      </c>
      <c r="N32">
        <f>IF($A32="";"";IF(Hafta_Ozet!$B12="";"";IF(AND(INDEX(Event_Girdi!$C:$C;MATCH($A32;Event_Girdi!$A:$A;0))&lt;=Hafta_Ozet!$C12;INDEX(Event_Girdi!$D:$D;MATCH($A32;Event_Girdi!$A:$A;0))&gt;=Hafta_Ozet!$B12);"ACTIVE";"")))</f>
      </c>
      <c r="O32">
        <f>IF($A32="";"";IF(Hafta_Ozet!$B13="";"";IF(AND(INDEX(Event_Girdi!$C:$C;MATCH($A32;Event_Girdi!$A:$A;0))&lt;=Hafta_Ozet!$C13;INDEX(Event_Girdi!$D:$D;MATCH($A32;Event_Girdi!$A:$A;0))&gt;=Hafta_Ozet!$B13);"ACTIVE";"")))</f>
      </c>
      <c r="P32">
        <f>IF($A32="";"";IF(Hafta_Ozet!$B14="";"";IF(AND(INDEX(Event_Girdi!$C:$C;MATCH($A32;Event_Girdi!$A:$A;0))&lt;=Hafta_Ozet!$C14;INDEX(Event_Girdi!$D:$D;MATCH($A32;Event_Girdi!$A:$A;0))&gt;=Hafta_Ozet!$B14);"ACTIVE";"")))</f>
      </c>
      <c r="Q32">
        <f>IF($A32="";"";IF(Hafta_Ozet!$B15="";"";IF(AND(INDEX(Event_Girdi!$C:$C;MATCH($A32;Event_Girdi!$A:$A;0))&lt;=Hafta_Ozet!$C15;INDEX(Event_Girdi!$D:$D;MATCH($A32;Event_Girdi!$A:$A;0))&gt;=Hafta_Ozet!$B15);"ACTIVE";"")))</f>
      </c>
      <c r="R32">
        <f>IF($A32="";"";IF(Hafta_Ozet!$B16="";"";IF(AND(INDEX(Event_Girdi!$C:$C;MATCH($A32;Event_Girdi!$A:$A;0))&lt;=Hafta_Ozet!$C16;INDEX(Event_Girdi!$D:$D;MATCH($A32;Event_Girdi!$A:$A;0))&gt;=Hafta_Ozet!$B16);"ACTIVE";"")))</f>
      </c>
      <c r="S32">
        <f>IF($A32="";"";IF(Hafta_Ozet!$B17="";"";IF(AND(INDEX(Event_Girdi!$C:$C;MATCH($A32;Event_Girdi!$A:$A;0))&lt;=Hafta_Ozet!$C17;INDEX(Event_Girdi!$D:$D;MATCH($A32;Event_Girdi!$A:$A;0))&gt;=Hafta_Ozet!$B17);"ACTIVE";"")))</f>
      </c>
      <c r="T32">
        <f>IF($A32="";"";IF(Hafta_Ozet!$B18="";"";IF(AND(INDEX(Event_Girdi!$C:$C;MATCH($A32;Event_Girdi!$A:$A;0))&lt;=Hafta_Ozet!$C18;INDEX(Event_Girdi!$D:$D;MATCH($A32;Event_Girdi!$A:$A;0))&gt;=Hafta_Ozet!$B18);"ACTIVE";"")))</f>
      </c>
      <c r="U32">
        <f>IF($A32="";"";IF(Hafta_Ozet!$B19="";"";IF(AND(INDEX(Event_Girdi!$C:$C;MATCH($A32;Event_Girdi!$A:$A;0))&lt;=Hafta_Ozet!$C19;INDEX(Event_Girdi!$D:$D;MATCH($A32;Event_Girdi!$A:$A;0))&gt;=Hafta_Ozet!$B19);"ACTIVE";"")))</f>
      </c>
      <c r="V32">
        <f>IF($A32="";"";IF(Hafta_Ozet!$B20="";"";IF(AND(INDEX(Event_Girdi!$C:$C;MATCH($A32;Event_Girdi!$A:$A;0))&lt;=Hafta_Ozet!$C20;INDEX(Event_Girdi!$D:$D;MATCH($A32;Event_Girdi!$A:$A;0))&gt;=Hafta_Ozet!$B20);"ACTIVE";"")))</f>
      </c>
      <c r="W32">
        <f>IF($A32="";"";IF(Hafta_Ozet!$B21="";"";IF(AND(INDEX(Event_Girdi!$C:$C;MATCH($A32;Event_Girdi!$A:$A;0))&lt;=Hafta_Ozet!$C21;INDEX(Event_Girdi!$D:$D;MATCH($A32;Event_Girdi!$A:$A;0))&gt;=Hafta_Ozet!$B21);"ACTIVE";"")))</f>
      </c>
    </row>
    <row r="33">
      <c r="A33">
        <f>IFERROR(INDEX(FILTER(Event_Girdi!$A$2:$A;Event_Girdi!$G$2:$G="Evet");2);"")</f>
      </c>
      <c r="B33">
        <f>IF($A33="";"";INDEX(Event_Girdi!$B:$B;MATCH($A33;Event_Girdi!$A:$A;0)))</f>
      </c>
      <c r="C33">
        <f>IF($A33="";"";INDEX(Event_Girdi!$E:$E;MATCH($A33;Event_Girdi!$A:$A;0)))</f>
      </c>
      <c r="D33">
        <f>IF($A33="";"";IF(Hafta_Ozet!$B2="";"";IF(AND(INDEX(Event_Girdi!$C:$C;MATCH($A33;Event_Girdi!$A:$A;0))&lt;=Hafta_Ozet!$C2;INDEX(Event_Girdi!$D:$D;MATCH($A33;Event_Girdi!$A:$A;0))&gt;=Hafta_Ozet!$B2);"ACTIVE";"")))</f>
      </c>
      <c r="E33">
        <f>IF($A33="";"";IF(Hafta_Ozet!$B3="";"";IF(AND(INDEX(Event_Girdi!$C:$C;MATCH($A33;Event_Girdi!$A:$A;0))&lt;=Hafta_Ozet!$C3;INDEX(Event_Girdi!$D:$D;MATCH($A33;Event_Girdi!$A:$A;0))&gt;=Hafta_Ozet!$B3);"ACTIVE";"")))</f>
      </c>
      <c r="F33">
        <f>IF($A33="";"";IF(Hafta_Ozet!$B4="";"";IF(AND(INDEX(Event_Girdi!$C:$C;MATCH($A33;Event_Girdi!$A:$A;0))&lt;=Hafta_Ozet!$C4;INDEX(Event_Girdi!$D:$D;MATCH($A33;Event_Girdi!$A:$A;0))&gt;=Hafta_Ozet!$B4);"ACTIVE";"")))</f>
      </c>
      <c r="G33">
        <f>IF($A33="";"";IF(Hafta_Ozet!$B5="";"";IF(AND(INDEX(Event_Girdi!$C:$C;MATCH($A33;Event_Girdi!$A:$A;0))&lt;=Hafta_Ozet!$C5;INDEX(Event_Girdi!$D:$D;MATCH($A33;Event_Girdi!$A:$A;0))&gt;=Hafta_Ozet!$B5);"ACTIVE";"")))</f>
      </c>
      <c r="H33">
        <f>IF($A33="";"";IF(Hafta_Ozet!$B6="";"";IF(AND(INDEX(Event_Girdi!$C:$C;MATCH($A33;Event_Girdi!$A:$A;0))&lt;=Hafta_Ozet!$C6;INDEX(Event_Girdi!$D:$D;MATCH($A33;Event_Girdi!$A:$A;0))&gt;=Hafta_Ozet!$B6);"ACTIVE";"")))</f>
      </c>
      <c r="I33">
        <f>IF($A33="";"";IF(Hafta_Ozet!$B7="";"";IF(AND(INDEX(Event_Girdi!$C:$C;MATCH($A33;Event_Girdi!$A:$A;0))&lt;=Hafta_Ozet!$C7;INDEX(Event_Girdi!$D:$D;MATCH($A33;Event_Girdi!$A:$A;0))&gt;=Hafta_Ozet!$B7);"ACTIVE";"")))</f>
      </c>
      <c r="J33">
        <f>IF($A33="";"";IF(Hafta_Ozet!$B8="";"";IF(AND(INDEX(Event_Girdi!$C:$C;MATCH($A33;Event_Girdi!$A:$A;0))&lt;=Hafta_Ozet!$C8;INDEX(Event_Girdi!$D:$D;MATCH($A33;Event_Girdi!$A:$A;0))&gt;=Hafta_Ozet!$B8);"ACTIVE";"")))</f>
      </c>
      <c r="K33">
        <f>IF($A33="";"";IF(Hafta_Ozet!$B9="";"";IF(AND(INDEX(Event_Girdi!$C:$C;MATCH($A33;Event_Girdi!$A:$A;0))&lt;=Hafta_Ozet!$C9;INDEX(Event_Girdi!$D:$D;MATCH($A33;Event_Girdi!$A:$A;0))&gt;=Hafta_Ozet!$B9);"ACTIVE";"")))</f>
      </c>
      <c r="L33">
        <f>IF($A33="";"";IF(Hafta_Ozet!$B10="";"";IF(AND(INDEX(Event_Girdi!$C:$C;MATCH($A33;Event_Girdi!$A:$A;0))&lt;=Hafta_Ozet!$C10;INDEX(Event_Girdi!$D:$D;MATCH($A33;Event_Girdi!$A:$A;0))&gt;=Hafta_Ozet!$B10);"ACTIVE";"")))</f>
      </c>
      <c r="M33">
        <f>IF($A33="";"";IF(Hafta_Ozet!$B11="";"";IF(AND(INDEX(Event_Girdi!$C:$C;MATCH($A33;Event_Girdi!$A:$A;0))&lt;=Hafta_Ozet!$C11;INDEX(Event_Girdi!$D:$D;MATCH($A33;Event_Girdi!$A:$A;0))&gt;=Hafta_Ozet!$B11);"ACTIVE";"")))</f>
      </c>
      <c r="N33">
        <f>IF($A33="";"";IF(Hafta_Ozet!$B12="";"";IF(AND(INDEX(Event_Girdi!$C:$C;MATCH($A33;Event_Girdi!$A:$A;0))&lt;=Hafta_Ozet!$C12;INDEX(Event_Girdi!$D:$D;MATCH($A33;Event_Girdi!$A:$A;0))&gt;=Hafta_Ozet!$B12);"ACTIVE";"")))</f>
      </c>
      <c r="O33">
        <f>IF($A33="";"";IF(Hafta_Ozet!$B13="";"";IF(AND(INDEX(Event_Girdi!$C:$C;MATCH($A33;Event_Girdi!$A:$A;0))&lt;=Hafta_Ozet!$C13;INDEX(Event_Girdi!$D:$D;MATCH($A33;Event_Girdi!$A:$A;0))&gt;=Hafta_Ozet!$B13);"ACTIVE";"")))</f>
      </c>
      <c r="P33">
        <f>IF($A33="";"";IF(Hafta_Ozet!$B14="";"";IF(AND(INDEX(Event_Girdi!$C:$C;MATCH($A33;Event_Girdi!$A:$A;0))&lt;=Hafta_Ozet!$C14;INDEX(Event_Girdi!$D:$D;MATCH($A33;Event_Girdi!$A:$A;0))&gt;=Hafta_Ozet!$B14);"ACTIVE";"")))</f>
      </c>
      <c r="Q33">
        <f>IF($A33="";"";IF(Hafta_Ozet!$B15="";"";IF(AND(INDEX(Event_Girdi!$C:$C;MATCH($A33;Event_Girdi!$A:$A;0))&lt;=Hafta_Ozet!$C15;INDEX(Event_Girdi!$D:$D;MATCH($A33;Event_Girdi!$A:$A;0))&gt;=Hafta_Ozet!$B15);"ACTIVE";"")))</f>
      </c>
      <c r="R33">
        <f>IF($A33="";"";IF(Hafta_Ozet!$B16="";"";IF(AND(INDEX(Event_Girdi!$C:$C;MATCH($A33;Event_Girdi!$A:$A;0))&lt;=Hafta_Ozet!$C16;INDEX(Event_Girdi!$D:$D;MATCH($A33;Event_Girdi!$A:$A;0))&gt;=Hafta_Ozet!$B16);"ACTIVE";"")))</f>
      </c>
      <c r="S33">
        <f>IF($A33="";"";IF(Hafta_Ozet!$B17="";"";IF(AND(INDEX(Event_Girdi!$C:$C;MATCH($A33;Event_Girdi!$A:$A;0))&lt;=Hafta_Ozet!$C17;INDEX(Event_Girdi!$D:$D;MATCH($A33;Event_Girdi!$A:$A;0))&gt;=Hafta_Ozet!$B17);"ACTIVE";"")))</f>
      </c>
      <c r="T33">
        <f>IF($A33="";"";IF(Hafta_Ozet!$B18="";"";IF(AND(INDEX(Event_Girdi!$C:$C;MATCH($A33;Event_Girdi!$A:$A;0))&lt;=Hafta_Ozet!$C18;INDEX(Event_Girdi!$D:$D;MATCH($A33;Event_Girdi!$A:$A;0))&gt;=Hafta_Ozet!$B18);"ACTIVE";"")))</f>
      </c>
      <c r="U33">
        <f>IF($A33="";"";IF(Hafta_Ozet!$B19="";"";IF(AND(INDEX(Event_Girdi!$C:$C;MATCH($A33;Event_Girdi!$A:$A;0))&lt;=Hafta_Ozet!$C19;INDEX(Event_Girdi!$D:$D;MATCH($A33;Event_Girdi!$A:$A;0))&gt;=Hafta_Ozet!$B19);"ACTIVE";"")))</f>
      </c>
      <c r="V33">
        <f>IF($A33="";"";IF(Hafta_Ozet!$B20="";"";IF(AND(INDEX(Event_Girdi!$C:$C;MATCH($A33;Event_Girdi!$A:$A;0))&lt;=Hafta_Ozet!$C20;INDEX(Event_Girdi!$D:$D;MATCH($A33;Event_Girdi!$A:$A;0))&gt;=Hafta_Ozet!$B20);"ACTIVE";"")))</f>
      </c>
      <c r="W33">
        <f>IF($A33="";"";IF(Hafta_Ozet!$B21="";"";IF(AND(INDEX(Event_Girdi!$C:$C;MATCH($A33;Event_Girdi!$A:$A;0))&lt;=Hafta_Ozet!$C21;INDEX(Event_Girdi!$D:$D;MATCH($A33;Event_Girdi!$A:$A;0))&gt;=Hafta_Ozet!$B21);"ACTIVE";"")))</f>
      </c>
    </row>
    <row r="34">
      <c r="A34">
        <f>IFERROR(INDEX(FILTER(Event_Girdi!$A$2:$A;Event_Girdi!$G$2:$G="Evet");3);"")</f>
      </c>
      <c r="B34">
        <f>IF($A34="";"";INDEX(Event_Girdi!$B:$B;MATCH($A34;Event_Girdi!$A:$A;0)))</f>
      </c>
      <c r="C34">
        <f>IF($A34="";"";INDEX(Event_Girdi!$E:$E;MATCH($A34;Event_Girdi!$A:$A;0)))</f>
      </c>
      <c r="D34">
        <f>IF($A34="";"";IF(Hafta_Ozet!$B2="";"";IF(AND(INDEX(Event_Girdi!$C:$C;MATCH($A34;Event_Girdi!$A:$A;0))&lt;=Hafta_Ozet!$C2;INDEX(Event_Girdi!$D:$D;MATCH($A34;Event_Girdi!$A:$A;0))&gt;=Hafta_Ozet!$B2);"ACTIVE";"")))</f>
      </c>
      <c r="E34">
        <f>IF($A34="";"";IF(Hafta_Ozet!$B3="";"";IF(AND(INDEX(Event_Girdi!$C:$C;MATCH($A34;Event_Girdi!$A:$A;0))&lt;=Hafta_Ozet!$C3;INDEX(Event_Girdi!$D:$D;MATCH($A34;Event_Girdi!$A:$A;0))&gt;=Hafta_Ozet!$B3);"ACTIVE";"")))</f>
      </c>
      <c r="F34">
        <f>IF($A34="";"";IF(Hafta_Ozet!$B4="";"";IF(AND(INDEX(Event_Girdi!$C:$C;MATCH($A34;Event_Girdi!$A:$A;0))&lt;=Hafta_Ozet!$C4;INDEX(Event_Girdi!$D:$D;MATCH($A34;Event_Girdi!$A:$A;0))&gt;=Hafta_Ozet!$B4);"ACTIVE";"")))</f>
      </c>
      <c r="G34">
        <f>IF($A34="";"";IF(Hafta_Ozet!$B5="";"";IF(AND(INDEX(Event_Girdi!$C:$C;MATCH($A34;Event_Girdi!$A:$A;0))&lt;=Hafta_Ozet!$C5;INDEX(Event_Girdi!$D:$D;MATCH($A34;Event_Girdi!$A:$A;0))&gt;=Hafta_Ozet!$B5);"ACTIVE";"")))</f>
      </c>
      <c r="H34">
        <f>IF($A34="";"";IF(Hafta_Ozet!$B6="";"";IF(AND(INDEX(Event_Girdi!$C:$C;MATCH($A34;Event_Girdi!$A:$A;0))&lt;=Hafta_Ozet!$C6;INDEX(Event_Girdi!$D:$D;MATCH($A34;Event_Girdi!$A:$A;0))&gt;=Hafta_Ozet!$B6);"ACTIVE";"")))</f>
      </c>
      <c r="I34">
        <f>IF($A34="";"";IF(Hafta_Ozet!$B7="";"";IF(AND(INDEX(Event_Girdi!$C:$C;MATCH($A34;Event_Girdi!$A:$A;0))&lt;=Hafta_Ozet!$C7;INDEX(Event_Girdi!$D:$D;MATCH($A34;Event_Girdi!$A:$A;0))&gt;=Hafta_Ozet!$B7);"ACTIVE";"")))</f>
      </c>
      <c r="J34">
        <f>IF($A34="";"";IF(Hafta_Ozet!$B8="";"";IF(AND(INDEX(Event_Girdi!$C:$C;MATCH($A34;Event_Girdi!$A:$A;0))&lt;=Hafta_Ozet!$C8;INDEX(Event_Girdi!$D:$D;MATCH($A34;Event_Girdi!$A:$A;0))&gt;=Hafta_Ozet!$B8);"ACTIVE";"")))</f>
      </c>
      <c r="K34">
        <f>IF($A34="";"";IF(Hafta_Ozet!$B9="";"";IF(AND(INDEX(Event_Girdi!$C:$C;MATCH($A34;Event_Girdi!$A:$A;0))&lt;=Hafta_Ozet!$C9;INDEX(Event_Girdi!$D:$D;MATCH($A34;Event_Girdi!$A:$A;0))&gt;=Hafta_Ozet!$B9);"ACTIVE";"")))</f>
      </c>
      <c r="L34">
        <f>IF($A34="";"";IF(Hafta_Ozet!$B10="";"";IF(AND(INDEX(Event_Girdi!$C:$C;MATCH($A34;Event_Girdi!$A:$A;0))&lt;=Hafta_Ozet!$C10;INDEX(Event_Girdi!$D:$D;MATCH($A34;Event_Girdi!$A:$A;0))&gt;=Hafta_Ozet!$B10);"ACTIVE";"")))</f>
      </c>
      <c r="M34">
        <f>IF($A34="";"";IF(Hafta_Ozet!$B11="";"";IF(AND(INDEX(Event_Girdi!$C:$C;MATCH($A34;Event_Girdi!$A:$A;0))&lt;=Hafta_Ozet!$C11;INDEX(Event_Girdi!$D:$D;MATCH($A34;Event_Girdi!$A:$A;0))&gt;=Hafta_Ozet!$B11);"ACTIVE";"")))</f>
      </c>
      <c r="N34">
        <f>IF($A34="";"";IF(Hafta_Ozet!$B12="";"";IF(AND(INDEX(Event_Girdi!$C:$C;MATCH($A34;Event_Girdi!$A:$A;0))&lt;=Hafta_Ozet!$C12;INDEX(Event_Girdi!$D:$D;MATCH($A34;Event_Girdi!$A:$A;0))&gt;=Hafta_Ozet!$B12);"ACTIVE";"")))</f>
      </c>
      <c r="O34">
        <f>IF($A34="";"";IF(Hafta_Ozet!$B13="";"";IF(AND(INDEX(Event_Girdi!$C:$C;MATCH($A34;Event_Girdi!$A:$A;0))&lt;=Hafta_Ozet!$C13;INDEX(Event_Girdi!$D:$D;MATCH($A34;Event_Girdi!$A:$A;0))&gt;=Hafta_Ozet!$B13);"ACTIVE";"")))</f>
      </c>
      <c r="P34">
        <f>IF($A34="";"";IF(Hafta_Ozet!$B14="";"";IF(AND(INDEX(Event_Girdi!$C:$C;MATCH($A34;Event_Girdi!$A:$A;0))&lt;=Hafta_Ozet!$C14;INDEX(Event_Girdi!$D:$D;MATCH($A34;Event_Girdi!$A:$A;0))&gt;=Hafta_Ozet!$B14);"ACTIVE";"")))</f>
      </c>
      <c r="Q34">
        <f>IF($A34="";"";IF(Hafta_Ozet!$B15="";"";IF(AND(INDEX(Event_Girdi!$C:$C;MATCH($A34;Event_Girdi!$A:$A;0))&lt;=Hafta_Ozet!$C15;INDEX(Event_Girdi!$D:$D;MATCH($A34;Event_Girdi!$A:$A;0))&gt;=Hafta_Ozet!$B15);"ACTIVE";"")))</f>
      </c>
      <c r="R34">
        <f>IF($A34="";"";IF(Hafta_Ozet!$B16="";"";IF(AND(INDEX(Event_Girdi!$C:$C;MATCH($A34;Event_Girdi!$A:$A;0))&lt;=Hafta_Ozet!$C16;INDEX(Event_Girdi!$D:$D;MATCH($A34;Event_Girdi!$A:$A;0))&gt;=Hafta_Ozet!$B16);"ACTIVE";"")))</f>
      </c>
      <c r="S34">
        <f>IF($A34="";"";IF(Hafta_Ozet!$B17="";"";IF(AND(INDEX(Event_Girdi!$C:$C;MATCH($A34;Event_Girdi!$A:$A;0))&lt;=Hafta_Ozet!$C17;INDEX(Event_Girdi!$D:$D;MATCH($A34;Event_Girdi!$A:$A;0))&gt;=Hafta_Ozet!$B17);"ACTIVE";"")))</f>
      </c>
      <c r="T34">
        <f>IF($A34="";"";IF(Hafta_Ozet!$B18="";"";IF(AND(INDEX(Event_Girdi!$C:$C;MATCH($A34;Event_Girdi!$A:$A;0))&lt;=Hafta_Ozet!$C18;INDEX(Event_Girdi!$D:$D;MATCH($A34;Event_Girdi!$A:$A;0))&gt;=Hafta_Ozet!$B18);"ACTIVE";"")))</f>
      </c>
      <c r="U34">
        <f>IF($A34="";"";IF(Hafta_Ozet!$B19="";"";IF(AND(INDEX(Event_Girdi!$C:$C;MATCH($A34;Event_Girdi!$A:$A;0))&lt;=Hafta_Ozet!$C19;INDEX(Event_Girdi!$D:$D;MATCH($A34;Event_Girdi!$A:$A;0))&gt;=Hafta_Ozet!$B19);"ACTIVE";"")))</f>
      </c>
      <c r="V34">
        <f>IF($A34="";"";IF(Hafta_Ozet!$B20="";"";IF(AND(INDEX(Event_Girdi!$C:$C;MATCH($A34;Event_Girdi!$A:$A;0))&lt;=Hafta_Ozet!$C20;INDEX(Event_Girdi!$D:$D;MATCH($A34;Event_Girdi!$A:$A;0))&gt;=Hafta_Ozet!$B20);"ACTIVE";"")))</f>
      </c>
      <c r="W34">
        <f>IF($A34="";"";IF(Hafta_Ozet!$B21="";"";IF(AND(INDEX(Event_Girdi!$C:$C;MATCH($A34;Event_Girdi!$A:$A;0))&lt;=Hafta_Ozet!$C21;INDEX(Event_Girdi!$D:$D;MATCH($A34;Event_Girdi!$A:$A;0))&gt;=Hafta_Ozet!$B21);"ACTIVE";"")))</f>
      </c>
    </row>
    <row r="35">
      <c r="A35">
        <f>IFERROR(INDEX(FILTER(Event_Girdi!$A$2:$A;Event_Girdi!$G$2:$G="Evet");4);"")</f>
      </c>
      <c r="B35">
        <f>IF($A35="";"";INDEX(Event_Girdi!$B:$B;MATCH($A35;Event_Girdi!$A:$A;0)))</f>
      </c>
      <c r="C35">
        <f>IF($A35="";"";INDEX(Event_Girdi!$E:$E;MATCH($A35;Event_Girdi!$A:$A;0)))</f>
      </c>
      <c r="D35">
        <f>IF($A35="";"";IF(Hafta_Ozet!$B2="";"";IF(AND(INDEX(Event_Girdi!$C:$C;MATCH($A35;Event_Girdi!$A:$A;0))&lt;=Hafta_Ozet!$C2;INDEX(Event_Girdi!$D:$D;MATCH($A35;Event_Girdi!$A:$A;0))&gt;=Hafta_Ozet!$B2);"ACTIVE";"")))</f>
      </c>
      <c r="E35">
        <f>IF($A35="";"";IF(Hafta_Ozet!$B3="";"";IF(AND(INDEX(Event_Girdi!$C:$C;MATCH($A35;Event_Girdi!$A:$A;0))&lt;=Hafta_Ozet!$C3;INDEX(Event_Girdi!$D:$D;MATCH($A35;Event_Girdi!$A:$A;0))&gt;=Hafta_Ozet!$B3);"ACTIVE";"")))</f>
      </c>
      <c r="F35">
        <f>IF($A35="";"";IF(Hafta_Ozet!$B4="";"";IF(AND(INDEX(Event_Girdi!$C:$C;MATCH($A35;Event_Girdi!$A:$A;0))&lt;=Hafta_Ozet!$C4;INDEX(Event_Girdi!$D:$D;MATCH($A35;Event_Girdi!$A:$A;0))&gt;=Hafta_Ozet!$B4);"ACTIVE";"")))</f>
      </c>
      <c r="G35">
        <f>IF($A35="";"";IF(Hafta_Ozet!$B5="";"";IF(AND(INDEX(Event_Girdi!$C:$C;MATCH($A35;Event_Girdi!$A:$A;0))&lt;=Hafta_Ozet!$C5;INDEX(Event_Girdi!$D:$D;MATCH($A35;Event_Girdi!$A:$A;0))&gt;=Hafta_Ozet!$B5);"ACTIVE";"")))</f>
      </c>
      <c r="H35">
        <f>IF($A35="";"";IF(Hafta_Ozet!$B6="";"";IF(AND(INDEX(Event_Girdi!$C:$C;MATCH($A35;Event_Girdi!$A:$A;0))&lt;=Hafta_Ozet!$C6;INDEX(Event_Girdi!$D:$D;MATCH($A35;Event_Girdi!$A:$A;0))&gt;=Hafta_Ozet!$B6);"ACTIVE";"")))</f>
      </c>
      <c r="I35">
        <f>IF($A35="";"";IF(Hafta_Ozet!$B7="";"";IF(AND(INDEX(Event_Girdi!$C:$C;MATCH($A35;Event_Girdi!$A:$A;0))&lt;=Hafta_Ozet!$C7;INDEX(Event_Girdi!$D:$D;MATCH($A35;Event_Girdi!$A:$A;0))&gt;=Hafta_Ozet!$B7);"ACTIVE";"")))</f>
      </c>
      <c r="J35">
        <f>IF($A35="";"";IF(Hafta_Ozet!$B8="";"";IF(AND(INDEX(Event_Girdi!$C:$C;MATCH($A35;Event_Girdi!$A:$A;0))&lt;=Hafta_Ozet!$C8;INDEX(Event_Girdi!$D:$D;MATCH($A35;Event_Girdi!$A:$A;0))&gt;=Hafta_Ozet!$B8);"ACTIVE";"")))</f>
      </c>
      <c r="K35">
        <f>IF($A35="";"";IF(Hafta_Ozet!$B9="";"";IF(AND(INDEX(Event_Girdi!$C:$C;MATCH($A35;Event_Girdi!$A:$A;0))&lt;=Hafta_Ozet!$C9;INDEX(Event_Girdi!$D:$D;MATCH($A35;Event_Girdi!$A:$A;0))&gt;=Hafta_Ozet!$B9);"ACTIVE";"")))</f>
      </c>
      <c r="L35">
        <f>IF($A35="";"";IF(Hafta_Ozet!$B10="";"";IF(AND(INDEX(Event_Girdi!$C:$C;MATCH($A35;Event_Girdi!$A:$A;0))&lt;=Hafta_Ozet!$C10;INDEX(Event_Girdi!$D:$D;MATCH($A35;Event_Girdi!$A:$A;0))&gt;=Hafta_Ozet!$B10);"ACTIVE";"")))</f>
      </c>
      <c r="M35">
        <f>IF($A35="";"";IF(Hafta_Ozet!$B11="";"";IF(AND(INDEX(Event_Girdi!$C:$C;MATCH($A35;Event_Girdi!$A:$A;0))&lt;=Hafta_Ozet!$C11;INDEX(Event_Girdi!$D:$D;MATCH($A35;Event_Girdi!$A:$A;0))&gt;=Hafta_Ozet!$B11);"ACTIVE";"")))</f>
      </c>
      <c r="N35">
        <f>IF($A35="";"";IF(Hafta_Ozet!$B12="";"";IF(AND(INDEX(Event_Girdi!$C:$C;MATCH($A35;Event_Girdi!$A:$A;0))&lt;=Hafta_Ozet!$C12;INDEX(Event_Girdi!$D:$D;MATCH($A35;Event_Girdi!$A:$A;0))&gt;=Hafta_Ozet!$B12);"ACTIVE";"")))</f>
      </c>
      <c r="O35">
        <f>IF($A35="";"";IF(Hafta_Ozet!$B13="";"";IF(AND(INDEX(Event_Girdi!$C:$C;MATCH($A35;Event_Girdi!$A:$A;0))&lt;=Hafta_Ozet!$C13;INDEX(Event_Girdi!$D:$D;MATCH($A35;Event_Girdi!$A:$A;0))&gt;=Hafta_Ozet!$B13);"ACTIVE";"")))</f>
      </c>
      <c r="P35">
        <f>IF($A35="";"";IF(Hafta_Ozet!$B14="";"";IF(AND(INDEX(Event_Girdi!$C:$C;MATCH($A35;Event_Girdi!$A:$A;0))&lt;=Hafta_Ozet!$C14;INDEX(Event_Girdi!$D:$D;MATCH($A35;Event_Girdi!$A:$A;0))&gt;=Hafta_Ozet!$B14);"ACTIVE";"")))</f>
      </c>
      <c r="Q35">
        <f>IF($A35="";"";IF(Hafta_Ozet!$B15="";"";IF(AND(INDEX(Event_Girdi!$C:$C;MATCH($A35;Event_Girdi!$A:$A;0))&lt;=Hafta_Ozet!$C15;INDEX(Event_Girdi!$D:$D;MATCH($A35;Event_Girdi!$A:$A;0))&gt;=Hafta_Ozet!$B15);"ACTIVE";"")))</f>
      </c>
      <c r="R35">
        <f>IF($A35="";"";IF(Hafta_Ozet!$B16="";"";IF(AND(INDEX(Event_Girdi!$C:$C;MATCH($A35;Event_Girdi!$A:$A;0))&lt;=Hafta_Ozet!$C16;INDEX(Event_Girdi!$D:$D;MATCH($A35;Event_Girdi!$A:$A;0))&gt;=Hafta_Ozet!$B16);"ACTIVE";"")))</f>
      </c>
      <c r="S35">
        <f>IF($A35="";"";IF(Hafta_Ozet!$B17="";"";IF(AND(INDEX(Event_Girdi!$C:$C;MATCH($A35;Event_Girdi!$A:$A;0))&lt;=Hafta_Ozet!$C17;INDEX(Event_Girdi!$D:$D;MATCH($A35;Event_Girdi!$A:$A;0))&gt;=Hafta_Ozet!$B17);"ACTIVE";"")))</f>
      </c>
      <c r="T35">
        <f>IF($A35="";"";IF(Hafta_Ozet!$B18="";"";IF(AND(INDEX(Event_Girdi!$C:$C;MATCH($A35;Event_Girdi!$A:$A;0))&lt;=Hafta_Ozet!$C18;INDEX(Event_Girdi!$D:$D;MATCH($A35;Event_Girdi!$A:$A;0))&gt;=Hafta_Ozet!$B18);"ACTIVE";"")))</f>
      </c>
      <c r="U35">
        <f>IF($A35="";"";IF(Hafta_Ozet!$B19="";"";IF(AND(INDEX(Event_Girdi!$C:$C;MATCH($A35;Event_Girdi!$A:$A;0))&lt;=Hafta_Ozet!$C19;INDEX(Event_Girdi!$D:$D;MATCH($A35;Event_Girdi!$A:$A;0))&gt;=Hafta_Ozet!$B19);"ACTIVE";"")))</f>
      </c>
      <c r="V35">
        <f>IF($A35="";"";IF(Hafta_Ozet!$B20="";"";IF(AND(INDEX(Event_Girdi!$C:$C;MATCH($A35;Event_Girdi!$A:$A;0))&lt;=Hafta_Ozet!$C20;INDEX(Event_Girdi!$D:$D;MATCH($A35;Event_Girdi!$A:$A;0))&gt;=Hafta_Ozet!$B20);"ACTIVE";"")))</f>
      </c>
      <c r="W35">
        <f>IF($A35="";"";IF(Hafta_Ozet!$B21="";"";IF(AND(INDEX(Event_Girdi!$C:$C;MATCH($A35;Event_Girdi!$A:$A;0))&lt;=Hafta_Ozet!$C21;INDEX(Event_Girdi!$D:$D;MATCH($A35;Event_Girdi!$A:$A;0))&gt;=Hafta_Ozet!$B21);"ACTIVE";"")))</f>
      </c>
    </row>
    <row r="36">
      <c r="A36">
        <f>IFERROR(INDEX(FILTER(Event_Girdi!$A$2:$A;Event_Girdi!$G$2:$G="Evet");5);"")</f>
      </c>
      <c r="B36">
        <f>IF($A36="";"";INDEX(Event_Girdi!$B:$B;MATCH($A36;Event_Girdi!$A:$A;0)))</f>
      </c>
      <c r="C36">
        <f>IF($A36="";"";INDEX(Event_Girdi!$E:$E;MATCH($A36;Event_Girdi!$A:$A;0)))</f>
      </c>
      <c r="D36">
        <f>IF($A36="";"";IF(Hafta_Ozet!$B2="";"";IF(AND(INDEX(Event_Girdi!$C:$C;MATCH($A36;Event_Girdi!$A:$A;0))&lt;=Hafta_Ozet!$C2;INDEX(Event_Girdi!$D:$D;MATCH($A36;Event_Girdi!$A:$A;0))&gt;=Hafta_Ozet!$B2);"ACTIVE";"")))</f>
      </c>
      <c r="E36">
        <f>IF($A36="";"";IF(Hafta_Ozet!$B3="";"";IF(AND(INDEX(Event_Girdi!$C:$C;MATCH($A36;Event_Girdi!$A:$A;0))&lt;=Hafta_Ozet!$C3;INDEX(Event_Girdi!$D:$D;MATCH($A36;Event_Girdi!$A:$A;0))&gt;=Hafta_Ozet!$B3);"ACTIVE";"")))</f>
      </c>
      <c r="F36">
        <f>IF($A36="";"";IF(Hafta_Ozet!$B4="";"";IF(AND(INDEX(Event_Girdi!$C:$C;MATCH($A36;Event_Girdi!$A:$A;0))&lt;=Hafta_Ozet!$C4;INDEX(Event_Girdi!$D:$D;MATCH($A36;Event_Girdi!$A:$A;0))&gt;=Hafta_Ozet!$B4);"ACTIVE";"")))</f>
      </c>
      <c r="G36">
        <f>IF($A36="";"";IF(Hafta_Ozet!$B5="";"";IF(AND(INDEX(Event_Girdi!$C:$C;MATCH($A36;Event_Girdi!$A:$A;0))&lt;=Hafta_Ozet!$C5;INDEX(Event_Girdi!$D:$D;MATCH($A36;Event_Girdi!$A:$A;0))&gt;=Hafta_Ozet!$B5);"ACTIVE";"")))</f>
      </c>
      <c r="H36">
        <f>IF($A36="";"";IF(Hafta_Ozet!$B6="";"";IF(AND(INDEX(Event_Girdi!$C:$C;MATCH($A36;Event_Girdi!$A:$A;0))&lt;=Hafta_Ozet!$C6;INDEX(Event_Girdi!$D:$D;MATCH($A36;Event_Girdi!$A:$A;0))&gt;=Hafta_Ozet!$B6);"ACTIVE";"")))</f>
      </c>
      <c r="I36">
        <f>IF($A36="";"";IF(Hafta_Ozet!$B7="";"";IF(AND(INDEX(Event_Girdi!$C:$C;MATCH($A36;Event_Girdi!$A:$A;0))&lt;=Hafta_Ozet!$C7;INDEX(Event_Girdi!$D:$D;MATCH($A36;Event_Girdi!$A:$A;0))&gt;=Hafta_Ozet!$B7);"ACTIVE";"")))</f>
      </c>
      <c r="J36">
        <f>IF($A36="";"";IF(Hafta_Ozet!$B8="";"";IF(AND(INDEX(Event_Girdi!$C:$C;MATCH($A36;Event_Girdi!$A:$A;0))&lt;=Hafta_Ozet!$C8;INDEX(Event_Girdi!$D:$D;MATCH($A36;Event_Girdi!$A:$A;0))&gt;=Hafta_Ozet!$B8);"ACTIVE";"")))</f>
      </c>
      <c r="K36">
        <f>IF($A36="";"";IF(Hafta_Ozet!$B9="";"";IF(AND(INDEX(Event_Girdi!$C:$C;MATCH($A36;Event_Girdi!$A:$A;0))&lt;=Hafta_Ozet!$C9;INDEX(Event_Girdi!$D:$D;MATCH($A36;Event_Girdi!$A:$A;0))&gt;=Hafta_Ozet!$B9);"ACTIVE";"")))</f>
      </c>
      <c r="L36">
        <f>IF($A36="";"";IF(Hafta_Ozet!$B10="";"";IF(AND(INDEX(Event_Girdi!$C:$C;MATCH($A36;Event_Girdi!$A:$A;0))&lt;=Hafta_Ozet!$C10;INDEX(Event_Girdi!$D:$D;MATCH($A36;Event_Girdi!$A:$A;0))&gt;=Hafta_Ozet!$B10);"ACTIVE";"")))</f>
      </c>
      <c r="M36">
        <f>IF($A36="";"";IF(Hafta_Ozet!$B11="";"";IF(AND(INDEX(Event_Girdi!$C:$C;MATCH($A36;Event_Girdi!$A:$A;0))&lt;=Hafta_Ozet!$C11;INDEX(Event_Girdi!$D:$D;MATCH($A36;Event_Girdi!$A:$A;0))&gt;=Hafta_Ozet!$B11);"ACTIVE";"")))</f>
      </c>
      <c r="N36">
        <f>IF($A36="";"";IF(Hafta_Ozet!$B12="";"";IF(AND(INDEX(Event_Girdi!$C:$C;MATCH($A36;Event_Girdi!$A:$A;0))&lt;=Hafta_Ozet!$C12;INDEX(Event_Girdi!$D:$D;MATCH($A36;Event_Girdi!$A:$A;0))&gt;=Hafta_Ozet!$B12);"ACTIVE";"")))</f>
      </c>
      <c r="O36">
        <f>IF($A36="";"";IF(Hafta_Ozet!$B13="";"";IF(AND(INDEX(Event_Girdi!$C:$C;MATCH($A36;Event_Girdi!$A:$A;0))&lt;=Hafta_Ozet!$C13;INDEX(Event_Girdi!$D:$D;MATCH($A36;Event_Girdi!$A:$A;0))&gt;=Hafta_Ozet!$B13);"ACTIVE";"")))</f>
      </c>
      <c r="P36">
        <f>IF($A36="";"";IF(Hafta_Ozet!$B14="";"";IF(AND(INDEX(Event_Girdi!$C:$C;MATCH($A36;Event_Girdi!$A:$A;0))&lt;=Hafta_Ozet!$C14;INDEX(Event_Girdi!$D:$D;MATCH($A36;Event_Girdi!$A:$A;0))&gt;=Hafta_Ozet!$B14);"ACTIVE";"")))</f>
      </c>
      <c r="Q36">
        <f>IF($A36="";"";IF(Hafta_Ozet!$B15="";"";IF(AND(INDEX(Event_Girdi!$C:$C;MATCH($A36;Event_Girdi!$A:$A;0))&lt;=Hafta_Ozet!$C15;INDEX(Event_Girdi!$D:$D;MATCH($A36;Event_Girdi!$A:$A;0))&gt;=Hafta_Ozet!$B15);"ACTIVE";"")))</f>
      </c>
      <c r="R36">
        <f>IF($A36="";"";IF(Hafta_Ozet!$B16="";"";IF(AND(INDEX(Event_Girdi!$C:$C;MATCH($A36;Event_Girdi!$A:$A;0))&lt;=Hafta_Ozet!$C16;INDEX(Event_Girdi!$D:$D;MATCH($A36;Event_Girdi!$A:$A;0))&gt;=Hafta_Ozet!$B16);"ACTIVE";"")))</f>
      </c>
      <c r="S36">
        <f>IF($A36="";"";IF(Hafta_Ozet!$B17="";"";IF(AND(INDEX(Event_Girdi!$C:$C;MATCH($A36;Event_Girdi!$A:$A;0))&lt;=Hafta_Ozet!$C17;INDEX(Event_Girdi!$D:$D;MATCH($A36;Event_Girdi!$A:$A;0))&gt;=Hafta_Ozet!$B17);"ACTIVE";"")))</f>
      </c>
      <c r="T36">
        <f>IF($A36="";"";IF(Hafta_Ozet!$B18="";"";IF(AND(INDEX(Event_Girdi!$C:$C;MATCH($A36;Event_Girdi!$A:$A;0))&lt;=Hafta_Ozet!$C18;INDEX(Event_Girdi!$D:$D;MATCH($A36;Event_Girdi!$A:$A;0))&gt;=Hafta_Ozet!$B18);"ACTIVE";"")))</f>
      </c>
      <c r="U36">
        <f>IF($A36="";"";IF(Hafta_Ozet!$B19="";"";IF(AND(INDEX(Event_Girdi!$C:$C;MATCH($A36;Event_Girdi!$A:$A;0))&lt;=Hafta_Ozet!$C19;INDEX(Event_Girdi!$D:$D;MATCH($A36;Event_Girdi!$A:$A;0))&gt;=Hafta_Ozet!$B19);"ACTIVE";"")))</f>
      </c>
      <c r="V36">
        <f>IF($A36="";"";IF(Hafta_Ozet!$B20="";"";IF(AND(INDEX(Event_Girdi!$C:$C;MATCH($A36;Event_Girdi!$A:$A;0))&lt;=Hafta_Ozet!$C20;INDEX(Event_Girdi!$D:$D;MATCH($A36;Event_Girdi!$A:$A;0))&gt;=Hafta_Ozet!$B20);"ACTIVE";"")))</f>
      </c>
      <c r="W36">
        <f>IF($A36="";"";IF(Hafta_Ozet!$B21="";"";IF(AND(INDEX(Event_Girdi!$C:$C;MATCH($A36;Event_Girdi!$A:$A;0))&lt;=Hafta_Ozet!$C21;INDEX(Event_Girdi!$D:$D;MATCH($A36;Event_Girdi!$A:$A;0))&gt;=Hafta_Ozet!$B21);"ACTIVE";"")))</f>
      </c>
    </row>
    <row r="37">
      <c r="A37">
        <f>IFERROR(INDEX(FILTER(Event_Girdi!$A$2:$A;Event_Girdi!$G$2:$G="Evet");6);"")</f>
      </c>
      <c r="B37">
        <f>IF($A37="";"";INDEX(Event_Girdi!$B:$B;MATCH($A37;Event_Girdi!$A:$A;0)))</f>
      </c>
      <c r="C37">
        <f>IF($A37="";"";INDEX(Event_Girdi!$E:$E;MATCH($A37;Event_Girdi!$A:$A;0)))</f>
      </c>
      <c r="D37">
        <f>IF($A37="";"";IF(Hafta_Ozet!$B2="";"";IF(AND(INDEX(Event_Girdi!$C:$C;MATCH($A37;Event_Girdi!$A:$A;0))&lt;=Hafta_Ozet!$C2;INDEX(Event_Girdi!$D:$D;MATCH($A37;Event_Girdi!$A:$A;0))&gt;=Hafta_Ozet!$B2);"ACTIVE";"")))</f>
      </c>
      <c r="E37">
        <f>IF($A37="";"";IF(Hafta_Ozet!$B3="";"";IF(AND(INDEX(Event_Girdi!$C:$C;MATCH($A37;Event_Girdi!$A:$A;0))&lt;=Hafta_Ozet!$C3;INDEX(Event_Girdi!$D:$D;MATCH($A37;Event_Girdi!$A:$A;0))&gt;=Hafta_Ozet!$B3);"ACTIVE";"")))</f>
      </c>
      <c r="F37">
        <f>IF($A37="";"";IF(Hafta_Ozet!$B4="";"";IF(AND(INDEX(Event_Girdi!$C:$C;MATCH($A37;Event_Girdi!$A:$A;0))&lt;=Hafta_Ozet!$C4;INDEX(Event_Girdi!$D:$D;MATCH($A37;Event_Girdi!$A:$A;0))&gt;=Hafta_Ozet!$B4);"ACTIVE";"")))</f>
      </c>
      <c r="G37">
        <f>IF($A37="";"";IF(Hafta_Ozet!$B5="";"";IF(AND(INDEX(Event_Girdi!$C:$C;MATCH($A37;Event_Girdi!$A:$A;0))&lt;=Hafta_Ozet!$C5;INDEX(Event_Girdi!$D:$D;MATCH($A37;Event_Girdi!$A:$A;0))&gt;=Hafta_Ozet!$B5);"ACTIVE";"")))</f>
      </c>
      <c r="H37">
        <f>IF($A37="";"";IF(Hafta_Ozet!$B6="";"";IF(AND(INDEX(Event_Girdi!$C:$C;MATCH($A37;Event_Girdi!$A:$A;0))&lt;=Hafta_Ozet!$C6;INDEX(Event_Girdi!$D:$D;MATCH($A37;Event_Girdi!$A:$A;0))&gt;=Hafta_Ozet!$B6);"ACTIVE";"")))</f>
      </c>
      <c r="I37">
        <f>IF($A37="";"";IF(Hafta_Ozet!$B7="";"";IF(AND(INDEX(Event_Girdi!$C:$C;MATCH($A37;Event_Girdi!$A:$A;0))&lt;=Hafta_Ozet!$C7;INDEX(Event_Girdi!$D:$D;MATCH($A37;Event_Girdi!$A:$A;0))&gt;=Hafta_Ozet!$B7);"ACTIVE";"")))</f>
      </c>
      <c r="J37">
        <f>IF($A37="";"";IF(Hafta_Ozet!$B8="";"";IF(AND(INDEX(Event_Girdi!$C:$C;MATCH($A37;Event_Girdi!$A:$A;0))&lt;=Hafta_Ozet!$C8;INDEX(Event_Girdi!$D:$D;MATCH($A37;Event_Girdi!$A:$A;0))&gt;=Hafta_Ozet!$B8);"ACTIVE";"")))</f>
      </c>
      <c r="K37">
        <f>IF($A37="";"";IF(Hafta_Ozet!$B9="";"";IF(AND(INDEX(Event_Girdi!$C:$C;MATCH($A37;Event_Girdi!$A:$A;0))&lt;=Hafta_Ozet!$C9;INDEX(Event_Girdi!$D:$D;MATCH($A37;Event_Girdi!$A:$A;0))&gt;=Hafta_Ozet!$B9);"ACTIVE";"")))</f>
      </c>
      <c r="L37">
        <f>IF($A37="";"";IF(Hafta_Ozet!$B10="";"";IF(AND(INDEX(Event_Girdi!$C:$C;MATCH($A37;Event_Girdi!$A:$A;0))&lt;=Hafta_Ozet!$C10;INDEX(Event_Girdi!$D:$D;MATCH($A37;Event_Girdi!$A:$A;0))&gt;=Hafta_Ozet!$B10);"ACTIVE";"")))</f>
      </c>
      <c r="M37">
        <f>IF($A37="";"";IF(Hafta_Ozet!$B11="";"";IF(AND(INDEX(Event_Girdi!$C:$C;MATCH($A37;Event_Girdi!$A:$A;0))&lt;=Hafta_Ozet!$C11;INDEX(Event_Girdi!$D:$D;MATCH($A37;Event_Girdi!$A:$A;0))&gt;=Hafta_Ozet!$B11);"ACTIVE";"")))</f>
      </c>
      <c r="N37">
        <f>IF($A37="";"";IF(Hafta_Ozet!$B12="";"";IF(AND(INDEX(Event_Girdi!$C:$C;MATCH($A37;Event_Girdi!$A:$A;0))&lt;=Hafta_Ozet!$C12;INDEX(Event_Girdi!$D:$D;MATCH($A37;Event_Girdi!$A:$A;0))&gt;=Hafta_Ozet!$B12);"ACTIVE";"")))</f>
      </c>
      <c r="O37">
        <f>IF($A37="";"";IF(Hafta_Ozet!$B13="";"";IF(AND(INDEX(Event_Girdi!$C:$C;MATCH($A37;Event_Girdi!$A:$A;0))&lt;=Hafta_Ozet!$C13;INDEX(Event_Girdi!$D:$D;MATCH($A37;Event_Girdi!$A:$A;0))&gt;=Hafta_Ozet!$B13);"ACTIVE";"")))</f>
      </c>
      <c r="P37">
        <f>IF($A37="";"";IF(Hafta_Ozet!$B14="";"";IF(AND(INDEX(Event_Girdi!$C:$C;MATCH($A37;Event_Girdi!$A:$A;0))&lt;=Hafta_Ozet!$C14;INDEX(Event_Girdi!$D:$D;MATCH($A37;Event_Girdi!$A:$A;0))&gt;=Hafta_Ozet!$B14);"ACTIVE";"")))</f>
      </c>
      <c r="Q37">
        <f>IF($A37="";"";IF(Hafta_Ozet!$B15="";"";IF(AND(INDEX(Event_Girdi!$C:$C;MATCH($A37;Event_Girdi!$A:$A;0))&lt;=Hafta_Ozet!$C15;INDEX(Event_Girdi!$D:$D;MATCH($A37;Event_Girdi!$A:$A;0))&gt;=Hafta_Ozet!$B15);"ACTIVE";"")))</f>
      </c>
      <c r="R37">
        <f>IF($A37="";"";IF(Hafta_Ozet!$B16="";"";IF(AND(INDEX(Event_Girdi!$C:$C;MATCH($A37;Event_Girdi!$A:$A;0))&lt;=Hafta_Ozet!$C16;INDEX(Event_Girdi!$D:$D;MATCH($A37;Event_Girdi!$A:$A;0))&gt;=Hafta_Ozet!$B16);"ACTIVE";"")))</f>
      </c>
      <c r="S37">
        <f>IF($A37="";"";IF(Hafta_Ozet!$B17="";"";IF(AND(INDEX(Event_Girdi!$C:$C;MATCH($A37;Event_Girdi!$A:$A;0))&lt;=Hafta_Ozet!$C17;INDEX(Event_Girdi!$D:$D;MATCH($A37;Event_Girdi!$A:$A;0))&gt;=Hafta_Ozet!$B17);"ACTIVE";"")))</f>
      </c>
      <c r="T37">
        <f>IF($A37="";"";IF(Hafta_Ozet!$B18="";"";IF(AND(INDEX(Event_Girdi!$C:$C;MATCH($A37;Event_Girdi!$A:$A;0))&lt;=Hafta_Ozet!$C18;INDEX(Event_Girdi!$D:$D;MATCH($A37;Event_Girdi!$A:$A;0))&gt;=Hafta_Ozet!$B18);"ACTIVE";"")))</f>
      </c>
      <c r="U37">
        <f>IF($A37="";"";IF(Hafta_Ozet!$B19="";"";IF(AND(INDEX(Event_Girdi!$C:$C;MATCH($A37;Event_Girdi!$A:$A;0))&lt;=Hafta_Ozet!$C19;INDEX(Event_Girdi!$D:$D;MATCH($A37;Event_Girdi!$A:$A;0))&gt;=Hafta_Ozet!$B19);"ACTIVE";"")))</f>
      </c>
      <c r="V37">
        <f>IF($A37="";"";IF(Hafta_Ozet!$B20="";"";IF(AND(INDEX(Event_Girdi!$C:$C;MATCH($A37;Event_Girdi!$A:$A;0))&lt;=Hafta_Ozet!$C20;INDEX(Event_Girdi!$D:$D;MATCH($A37;Event_Girdi!$A:$A;0))&gt;=Hafta_Ozet!$B20);"ACTIVE";"")))</f>
      </c>
      <c r="W37">
        <f>IF($A37="";"";IF(Hafta_Ozet!$B21="";"";IF(AND(INDEX(Event_Girdi!$C:$C;MATCH($A37;Event_Girdi!$A:$A;0))&lt;=Hafta_Ozet!$C21;INDEX(Event_Girdi!$D:$D;MATCH($A37;Event_Girdi!$A:$A;0))&gt;=Hafta_Ozet!$B21);"ACTIVE";"")))</f>
      </c>
    </row>
    <row r="38">
      <c r="A38">
        <f>IFERROR(INDEX(FILTER(Event_Girdi!$A$2:$A;Event_Girdi!$G$2:$G="Evet");7);"")</f>
      </c>
      <c r="B38">
        <f>IF($A38="";"";INDEX(Event_Girdi!$B:$B;MATCH($A38;Event_Girdi!$A:$A;0)))</f>
      </c>
      <c r="C38">
        <f>IF($A38="";"";INDEX(Event_Girdi!$E:$E;MATCH($A38;Event_Girdi!$A:$A;0)))</f>
      </c>
      <c r="D38">
        <f>IF($A38="";"";IF(Hafta_Ozet!$B2="";"";IF(AND(INDEX(Event_Girdi!$C:$C;MATCH($A38;Event_Girdi!$A:$A;0))&lt;=Hafta_Ozet!$C2;INDEX(Event_Girdi!$D:$D;MATCH($A38;Event_Girdi!$A:$A;0))&gt;=Hafta_Ozet!$B2);"ACTIVE";"")))</f>
      </c>
      <c r="E38">
        <f>IF($A38="";"";IF(Hafta_Ozet!$B3="";"";IF(AND(INDEX(Event_Girdi!$C:$C;MATCH($A38;Event_Girdi!$A:$A;0))&lt;=Hafta_Ozet!$C3;INDEX(Event_Girdi!$D:$D;MATCH($A38;Event_Girdi!$A:$A;0))&gt;=Hafta_Ozet!$B3);"ACTIVE";"")))</f>
      </c>
      <c r="F38">
        <f>IF($A38="";"";IF(Hafta_Ozet!$B4="";"";IF(AND(INDEX(Event_Girdi!$C:$C;MATCH($A38;Event_Girdi!$A:$A;0))&lt;=Hafta_Ozet!$C4;INDEX(Event_Girdi!$D:$D;MATCH($A38;Event_Girdi!$A:$A;0))&gt;=Hafta_Ozet!$B4);"ACTIVE";"")))</f>
      </c>
      <c r="G38">
        <f>IF($A38="";"";IF(Hafta_Ozet!$B5="";"";IF(AND(INDEX(Event_Girdi!$C:$C;MATCH($A38;Event_Girdi!$A:$A;0))&lt;=Hafta_Ozet!$C5;INDEX(Event_Girdi!$D:$D;MATCH($A38;Event_Girdi!$A:$A;0))&gt;=Hafta_Ozet!$B5);"ACTIVE";"")))</f>
      </c>
      <c r="H38">
        <f>IF($A38="";"";IF(Hafta_Ozet!$B6="";"";IF(AND(INDEX(Event_Girdi!$C:$C;MATCH($A38;Event_Girdi!$A:$A;0))&lt;=Hafta_Ozet!$C6;INDEX(Event_Girdi!$D:$D;MATCH($A38;Event_Girdi!$A:$A;0))&gt;=Hafta_Ozet!$B6);"ACTIVE";"")))</f>
      </c>
      <c r="I38">
        <f>IF($A38="";"";IF(Hafta_Ozet!$B7="";"";IF(AND(INDEX(Event_Girdi!$C:$C;MATCH($A38;Event_Girdi!$A:$A;0))&lt;=Hafta_Ozet!$C7;INDEX(Event_Girdi!$D:$D;MATCH($A38;Event_Girdi!$A:$A;0))&gt;=Hafta_Ozet!$B7);"ACTIVE";"")))</f>
      </c>
      <c r="J38">
        <f>IF($A38="";"";IF(Hafta_Ozet!$B8="";"";IF(AND(INDEX(Event_Girdi!$C:$C;MATCH($A38;Event_Girdi!$A:$A;0))&lt;=Hafta_Ozet!$C8;INDEX(Event_Girdi!$D:$D;MATCH($A38;Event_Girdi!$A:$A;0))&gt;=Hafta_Ozet!$B8);"ACTIVE";"")))</f>
      </c>
      <c r="K38">
        <f>IF($A38="";"";IF(Hafta_Ozet!$B9="";"";IF(AND(INDEX(Event_Girdi!$C:$C;MATCH($A38;Event_Girdi!$A:$A;0))&lt;=Hafta_Ozet!$C9;INDEX(Event_Girdi!$D:$D;MATCH($A38;Event_Girdi!$A:$A;0))&gt;=Hafta_Ozet!$B9);"ACTIVE";"")))</f>
      </c>
      <c r="L38">
        <f>IF($A38="";"";IF(Hafta_Ozet!$B10="";"";IF(AND(INDEX(Event_Girdi!$C:$C;MATCH($A38;Event_Girdi!$A:$A;0))&lt;=Hafta_Ozet!$C10;INDEX(Event_Girdi!$D:$D;MATCH($A38;Event_Girdi!$A:$A;0))&gt;=Hafta_Ozet!$B10);"ACTIVE";"")))</f>
      </c>
      <c r="M38">
        <f>IF($A38="";"";IF(Hafta_Ozet!$B11="";"";IF(AND(INDEX(Event_Girdi!$C:$C;MATCH($A38;Event_Girdi!$A:$A;0))&lt;=Hafta_Ozet!$C11;INDEX(Event_Girdi!$D:$D;MATCH($A38;Event_Girdi!$A:$A;0))&gt;=Hafta_Ozet!$B11);"ACTIVE";"")))</f>
      </c>
      <c r="N38">
        <f>IF($A38="";"";IF(Hafta_Ozet!$B12="";"";IF(AND(INDEX(Event_Girdi!$C:$C;MATCH($A38;Event_Girdi!$A:$A;0))&lt;=Hafta_Ozet!$C12;INDEX(Event_Girdi!$D:$D;MATCH($A38;Event_Girdi!$A:$A;0))&gt;=Hafta_Ozet!$B12);"ACTIVE";"")))</f>
      </c>
      <c r="O38">
        <f>IF($A38="";"";IF(Hafta_Ozet!$B13="";"";IF(AND(INDEX(Event_Girdi!$C:$C;MATCH($A38;Event_Girdi!$A:$A;0))&lt;=Hafta_Ozet!$C13;INDEX(Event_Girdi!$D:$D;MATCH($A38;Event_Girdi!$A:$A;0))&gt;=Hafta_Ozet!$B13);"ACTIVE";"")))</f>
      </c>
      <c r="P38">
        <f>IF($A38="";"";IF(Hafta_Ozet!$B14="";"";IF(AND(INDEX(Event_Girdi!$C:$C;MATCH($A38;Event_Girdi!$A:$A;0))&lt;=Hafta_Ozet!$C14;INDEX(Event_Girdi!$D:$D;MATCH($A38;Event_Girdi!$A:$A;0))&gt;=Hafta_Ozet!$B14);"ACTIVE";"")))</f>
      </c>
      <c r="Q38">
        <f>IF($A38="";"";IF(Hafta_Ozet!$B15="";"";IF(AND(INDEX(Event_Girdi!$C:$C;MATCH($A38;Event_Girdi!$A:$A;0))&lt;=Hafta_Ozet!$C15;INDEX(Event_Girdi!$D:$D;MATCH($A38;Event_Girdi!$A:$A;0))&gt;=Hafta_Ozet!$B15);"ACTIVE";"")))</f>
      </c>
      <c r="R38">
        <f>IF($A38="";"";IF(Hafta_Ozet!$B16="";"";IF(AND(INDEX(Event_Girdi!$C:$C;MATCH($A38;Event_Girdi!$A:$A;0))&lt;=Hafta_Ozet!$C16;INDEX(Event_Girdi!$D:$D;MATCH($A38;Event_Girdi!$A:$A;0))&gt;=Hafta_Ozet!$B16);"ACTIVE";"")))</f>
      </c>
      <c r="S38">
        <f>IF($A38="";"";IF(Hafta_Ozet!$B17="";"";IF(AND(INDEX(Event_Girdi!$C:$C;MATCH($A38;Event_Girdi!$A:$A;0))&lt;=Hafta_Ozet!$C17;INDEX(Event_Girdi!$D:$D;MATCH($A38;Event_Girdi!$A:$A;0))&gt;=Hafta_Ozet!$B17);"ACTIVE";"")))</f>
      </c>
      <c r="T38">
        <f>IF($A38="";"";IF(Hafta_Ozet!$B18="";"";IF(AND(INDEX(Event_Girdi!$C:$C;MATCH($A38;Event_Girdi!$A:$A;0))&lt;=Hafta_Ozet!$C18;INDEX(Event_Girdi!$D:$D;MATCH($A38;Event_Girdi!$A:$A;0))&gt;=Hafta_Ozet!$B18);"ACTIVE";"")))</f>
      </c>
      <c r="U38">
        <f>IF($A38="";"";IF(Hafta_Ozet!$B19="";"";IF(AND(INDEX(Event_Girdi!$C:$C;MATCH($A38;Event_Girdi!$A:$A;0))&lt;=Hafta_Ozet!$C19;INDEX(Event_Girdi!$D:$D;MATCH($A38;Event_Girdi!$A:$A;0))&gt;=Hafta_Ozet!$B19);"ACTIVE";"")))</f>
      </c>
      <c r="V38">
        <f>IF($A38="";"";IF(Hafta_Ozet!$B20="";"";IF(AND(INDEX(Event_Girdi!$C:$C;MATCH($A38;Event_Girdi!$A:$A;0))&lt;=Hafta_Ozet!$C20;INDEX(Event_Girdi!$D:$D;MATCH($A38;Event_Girdi!$A:$A;0))&gt;=Hafta_Ozet!$B20);"ACTIVE";"")))</f>
      </c>
      <c r="W38">
        <f>IF($A38="";"";IF(Hafta_Ozet!$B21="";"";IF(AND(INDEX(Event_Girdi!$C:$C;MATCH($A38;Event_Girdi!$A:$A;0))&lt;=Hafta_Ozet!$C21;INDEX(Event_Girdi!$D:$D;MATCH($A38;Event_Girdi!$A:$A;0))&gt;=Hafta_Ozet!$B21);"ACTIVE";"")))</f>
      </c>
    </row>
    <row r="39">
      <c r="A39">
        <f>IFERROR(INDEX(FILTER(Event_Girdi!$A$2:$A;Event_Girdi!$G$2:$G="Evet");8);"")</f>
      </c>
      <c r="B39">
        <f>IF($A39="";"";INDEX(Event_Girdi!$B:$B;MATCH($A39;Event_Girdi!$A:$A;0)))</f>
      </c>
      <c r="C39">
        <f>IF($A39="";"";INDEX(Event_Girdi!$E:$E;MATCH($A39;Event_Girdi!$A:$A;0)))</f>
      </c>
      <c r="D39">
        <f>IF($A39="";"";IF(Hafta_Ozet!$B2="";"";IF(AND(INDEX(Event_Girdi!$C:$C;MATCH($A39;Event_Girdi!$A:$A;0))&lt;=Hafta_Ozet!$C2;INDEX(Event_Girdi!$D:$D;MATCH($A39;Event_Girdi!$A:$A;0))&gt;=Hafta_Ozet!$B2);"ACTIVE";"")))</f>
      </c>
      <c r="E39">
        <f>IF($A39="";"";IF(Hafta_Ozet!$B3="";"";IF(AND(INDEX(Event_Girdi!$C:$C;MATCH($A39;Event_Girdi!$A:$A;0))&lt;=Hafta_Ozet!$C3;INDEX(Event_Girdi!$D:$D;MATCH($A39;Event_Girdi!$A:$A;0))&gt;=Hafta_Ozet!$B3);"ACTIVE";"")))</f>
      </c>
      <c r="F39">
        <f>IF($A39="";"";IF(Hafta_Ozet!$B4="";"";IF(AND(INDEX(Event_Girdi!$C:$C;MATCH($A39;Event_Girdi!$A:$A;0))&lt;=Hafta_Ozet!$C4;INDEX(Event_Girdi!$D:$D;MATCH($A39;Event_Girdi!$A:$A;0))&gt;=Hafta_Ozet!$B4);"ACTIVE";"")))</f>
      </c>
      <c r="G39">
        <f>IF($A39="";"";IF(Hafta_Ozet!$B5="";"";IF(AND(INDEX(Event_Girdi!$C:$C;MATCH($A39;Event_Girdi!$A:$A;0))&lt;=Hafta_Ozet!$C5;INDEX(Event_Girdi!$D:$D;MATCH($A39;Event_Girdi!$A:$A;0))&gt;=Hafta_Ozet!$B5);"ACTIVE";"")))</f>
      </c>
      <c r="H39">
        <f>IF($A39="";"";IF(Hafta_Ozet!$B6="";"";IF(AND(INDEX(Event_Girdi!$C:$C;MATCH($A39;Event_Girdi!$A:$A;0))&lt;=Hafta_Ozet!$C6;INDEX(Event_Girdi!$D:$D;MATCH($A39;Event_Girdi!$A:$A;0))&gt;=Hafta_Ozet!$B6);"ACTIVE";"")))</f>
      </c>
      <c r="I39">
        <f>IF($A39="";"";IF(Hafta_Ozet!$B7="";"";IF(AND(INDEX(Event_Girdi!$C:$C;MATCH($A39;Event_Girdi!$A:$A;0))&lt;=Hafta_Ozet!$C7;INDEX(Event_Girdi!$D:$D;MATCH($A39;Event_Girdi!$A:$A;0))&gt;=Hafta_Ozet!$B7);"ACTIVE";"")))</f>
      </c>
      <c r="J39">
        <f>IF($A39="";"";IF(Hafta_Ozet!$B8="";"";IF(AND(INDEX(Event_Girdi!$C:$C;MATCH($A39;Event_Girdi!$A:$A;0))&lt;=Hafta_Ozet!$C8;INDEX(Event_Girdi!$D:$D;MATCH($A39;Event_Girdi!$A:$A;0))&gt;=Hafta_Ozet!$B8);"ACTIVE";"")))</f>
      </c>
      <c r="K39">
        <f>IF($A39="";"";IF(Hafta_Ozet!$B9="";"";IF(AND(INDEX(Event_Girdi!$C:$C;MATCH($A39;Event_Girdi!$A:$A;0))&lt;=Hafta_Ozet!$C9;INDEX(Event_Girdi!$D:$D;MATCH($A39;Event_Girdi!$A:$A;0))&gt;=Hafta_Ozet!$B9);"ACTIVE";"")))</f>
      </c>
      <c r="L39">
        <f>IF($A39="";"";IF(Hafta_Ozet!$B10="";"";IF(AND(INDEX(Event_Girdi!$C:$C;MATCH($A39;Event_Girdi!$A:$A;0))&lt;=Hafta_Ozet!$C10;INDEX(Event_Girdi!$D:$D;MATCH($A39;Event_Girdi!$A:$A;0))&gt;=Hafta_Ozet!$B10);"ACTIVE";"")))</f>
      </c>
      <c r="M39">
        <f>IF($A39="";"";IF(Hafta_Ozet!$B11="";"";IF(AND(INDEX(Event_Girdi!$C:$C;MATCH($A39;Event_Girdi!$A:$A;0))&lt;=Hafta_Ozet!$C11;INDEX(Event_Girdi!$D:$D;MATCH($A39;Event_Girdi!$A:$A;0))&gt;=Hafta_Ozet!$B11);"ACTIVE";"")))</f>
      </c>
      <c r="N39">
        <f>IF($A39="";"";IF(Hafta_Ozet!$B12="";"";IF(AND(INDEX(Event_Girdi!$C:$C;MATCH($A39;Event_Girdi!$A:$A;0))&lt;=Hafta_Ozet!$C12;INDEX(Event_Girdi!$D:$D;MATCH($A39;Event_Girdi!$A:$A;0))&gt;=Hafta_Ozet!$B12);"ACTIVE";"")))</f>
      </c>
      <c r="O39">
        <f>IF($A39="";"";IF(Hafta_Ozet!$B13="";"";IF(AND(INDEX(Event_Girdi!$C:$C;MATCH($A39;Event_Girdi!$A:$A;0))&lt;=Hafta_Ozet!$C13;INDEX(Event_Girdi!$D:$D;MATCH($A39;Event_Girdi!$A:$A;0))&gt;=Hafta_Ozet!$B13);"ACTIVE";"")))</f>
      </c>
      <c r="P39">
        <f>IF($A39="";"";IF(Hafta_Ozet!$B14="";"";IF(AND(INDEX(Event_Girdi!$C:$C;MATCH($A39;Event_Girdi!$A:$A;0))&lt;=Hafta_Ozet!$C14;INDEX(Event_Girdi!$D:$D;MATCH($A39;Event_Girdi!$A:$A;0))&gt;=Hafta_Ozet!$B14);"ACTIVE";"")))</f>
      </c>
      <c r="Q39">
        <f>IF($A39="";"";IF(Hafta_Ozet!$B15="";"";IF(AND(INDEX(Event_Girdi!$C:$C;MATCH($A39;Event_Girdi!$A:$A;0))&lt;=Hafta_Ozet!$C15;INDEX(Event_Girdi!$D:$D;MATCH($A39;Event_Girdi!$A:$A;0))&gt;=Hafta_Ozet!$B15);"ACTIVE";"")))</f>
      </c>
      <c r="R39">
        <f>IF($A39="";"";IF(Hafta_Ozet!$B16="";"";IF(AND(INDEX(Event_Girdi!$C:$C;MATCH($A39;Event_Girdi!$A:$A;0))&lt;=Hafta_Ozet!$C16;INDEX(Event_Girdi!$D:$D;MATCH($A39;Event_Girdi!$A:$A;0))&gt;=Hafta_Ozet!$B16);"ACTIVE";"")))</f>
      </c>
      <c r="S39">
        <f>IF($A39="";"";IF(Hafta_Ozet!$B17="";"";IF(AND(INDEX(Event_Girdi!$C:$C;MATCH($A39;Event_Girdi!$A:$A;0))&lt;=Hafta_Ozet!$C17;INDEX(Event_Girdi!$D:$D;MATCH($A39;Event_Girdi!$A:$A;0))&gt;=Hafta_Ozet!$B17);"ACTIVE";"")))</f>
      </c>
      <c r="T39">
        <f>IF($A39="";"";IF(Hafta_Ozet!$B18="";"";IF(AND(INDEX(Event_Girdi!$C:$C;MATCH($A39;Event_Girdi!$A:$A;0))&lt;=Hafta_Ozet!$C18;INDEX(Event_Girdi!$D:$D;MATCH($A39;Event_Girdi!$A:$A;0))&gt;=Hafta_Ozet!$B18);"ACTIVE";"")))</f>
      </c>
      <c r="U39">
        <f>IF($A39="";"";IF(Hafta_Ozet!$B19="";"";IF(AND(INDEX(Event_Girdi!$C:$C;MATCH($A39;Event_Girdi!$A:$A;0))&lt;=Hafta_Ozet!$C19;INDEX(Event_Girdi!$D:$D;MATCH($A39;Event_Girdi!$A:$A;0))&gt;=Hafta_Ozet!$B19);"ACTIVE";"")))</f>
      </c>
      <c r="V39">
        <f>IF($A39="";"";IF(Hafta_Ozet!$B20="";"";IF(AND(INDEX(Event_Girdi!$C:$C;MATCH($A39;Event_Girdi!$A:$A;0))&lt;=Hafta_Ozet!$C20;INDEX(Event_Girdi!$D:$D;MATCH($A39;Event_Girdi!$A:$A;0))&gt;=Hafta_Ozet!$B20);"ACTIVE";"")))</f>
      </c>
      <c r="W39">
        <f>IF($A39="";"";IF(Hafta_Ozet!$B21="";"";IF(AND(INDEX(Event_Girdi!$C:$C;MATCH($A39;Event_Girdi!$A:$A;0))&lt;=Hafta_Ozet!$C21;INDEX(Event_Girdi!$D:$D;MATCH($A39;Event_Girdi!$A:$A;0))&gt;=Hafta_Ozet!$B21);"ACTIVE";"")))</f>
      </c>
    </row>
    <row r="40">
      <c r="A40">
        <f>IFERROR(INDEX(FILTER(Event_Girdi!$A$2:$A;Event_Girdi!$G$2:$G="Evet");9);"")</f>
      </c>
      <c r="B40">
        <f>IF($A40="";"";INDEX(Event_Girdi!$B:$B;MATCH($A40;Event_Girdi!$A:$A;0)))</f>
      </c>
      <c r="C40">
        <f>IF($A40="";"";INDEX(Event_Girdi!$E:$E;MATCH($A40;Event_Girdi!$A:$A;0)))</f>
      </c>
      <c r="D40">
        <f>IF($A40="";"";IF(Hafta_Ozet!$B2="";"";IF(AND(INDEX(Event_Girdi!$C:$C;MATCH($A40;Event_Girdi!$A:$A;0))&lt;=Hafta_Ozet!$C2;INDEX(Event_Girdi!$D:$D;MATCH($A40;Event_Girdi!$A:$A;0))&gt;=Hafta_Ozet!$B2);"ACTIVE";"")))</f>
      </c>
      <c r="E40">
        <f>IF($A40="";"";IF(Hafta_Ozet!$B3="";"";IF(AND(INDEX(Event_Girdi!$C:$C;MATCH($A40;Event_Girdi!$A:$A;0))&lt;=Hafta_Ozet!$C3;INDEX(Event_Girdi!$D:$D;MATCH($A40;Event_Girdi!$A:$A;0))&gt;=Hafta_Ozet!$B3);"ACTIVE";"")))</f>
      </c>
      <c r="F40">
        <f>IF($A40="";"";IF(Hafta_Ozet!$B4="";"";IF(AND(INDEX(Event_Girdi!$C:$C;MATCH($A40;Event_Girdi!$A:$A;0))&lt;=Hafta_Ozet!$C4;INDEX(Event_Girdi!$D:$D;MATCH($A40;Event_Girdi!$A:$A;0))&gt;=Hafta_Ozet!$B4);"ACTIVE";"")))</f>
      </c>
      <c r="G40">
        <f>IF($A40="";"";IF(Hafta_Ozet!$B5="";"";IF(AND(INDEX(Event_Girdi!$C:$C;MATCH($A40;Event_Girdi!$A:$A;0))&lt;=Hafta_Ozet!$C5;INDEX(Event_Girdi!$D:$D;MATCH($A40;Event_Girdi!$A:$A;0))&gt;=Hafta_Ozet!$B5);"ACTIVE";"")))</f>
      </c>
      <c r="H40">
        <f>IF($A40="";"";IF(Hafta_Ozet!$B6="";"";IF(AND(INDEX(Event_Girdi!$C:$C;MATCH($A40;Event_Girdi!$A:$A;0))&lt;=Hafta_Ozet!$C6;INDEX(Event_Girdi!$D:$D;MATCH($A40;Event_Girdi!$A:$A;0))&gt;=Hafta_Ozet!$B6);"ACTIVE";"")))</f>
      </c>
      <c r="I40">
        <f>IF($A40="";"";IF(Hafta_Ozet!$B7="";"";IF(AND(INDEX(Event_Girdi!$C:$C;MATCH($A40;Event_Girdi!$A:$A;0))&lt;=Hafta_Ozet!$C7;INDEX(Event_Girdi!$D:$D;MATCH($A40;Event_Girdi!$A:$A;0))&gt;=Hafta_Ozet!$B7);"ACTIVE";"")))</f>
      </c>
      <c r="J40">
        <f>IF($A40="";"";IF(Hafta_Ozet!$B8="";"";IF(AND(INDEX(Event_Girdi!$C:$C;MATCH($A40;Event_Girdi!$A:$A;0))&lt;=Hafta_Ozet!$C8;INDEX(Event_Girdi!$D:$D;MATCH($A40;Event_Girdi!$A:$A;0))&gt;=Hafta_Ozet!$B8);"ACTIVE";"")))</f>
      </c>
      <c r="K40">
        <f>IF($A40="";"";IF(Hafta_Ozet!$B9="";"";IF(AND(INDEX(Event_Girdi!$C:$C;MATCH($A40;Event_Girdi!$A:$A;0))&lt;=Hafta_Ozet!$C9;INDEX(Event_Girdi!$D:$D;MATCH($A40;Event_Girdi!$A:$A;0))&gt;=Hafta_Ozet!$B9);"ACTIVE";"")))</f>
      </c>
      <c r="L40">
        <f>IF($A40="";"";IF(Hafta_Ozet!$B10="";"";IF(AND(INDEX(Event_Girdi!$C:$C;MATCH($A40;Event_Girdi!$A:$A;0))&lt;=Hafta_Ozet!$C10;INDEX(Event_Girdi!$D:$D;MATCH($A40;Event_Girdi!$A:$A;0))&gt;=Hafta_Ozet!$B10);"ACTIVE";"")))</f>
      </c>
      <c r="M40">
        <f>IF($A40="";"";IF(Hafta_Ozet!$B11="";"";IF(AND(INDEX(Event_Girdi!$C:$C;MATCH($A40;Event_Girdi!$A:$A;0))&lt;=Hafta_Ozet!$C11;INDEX(Event_Girdi!$D:$D;MATCH($A40;Event_Girdi!$A:$A;0))&gt;=Hafta_Ozet!$B11);"ACTIVE";"")))</f>
      </c>
      <c r="N40">
        <f>IF($A40="";"";IF(Hafta_Ozet!$B12="";"";IF(AND(INDEX(Event_Girdi!$C:$C;MATCH($A40;Event_Girdi!$A:$A;0))&lt;=Hafta_Ozet!$C12;INDEX(Event_Girdi!$D:$D;MATCH($A40;Event_Girdi!$A:$A;0))&gt;=Hafta_Ozet!$B12);"ACTIVE";"")))</f>
      </c>
      <c r="O40">
        <f>IF($A40="";"";IF(Hafta_Ozet!$B13="";"";IF(AND(INDEX(Event_Girdi!$C:$C;MATCH($A40;Event_Girdi!$A:$A;0))&lt;=Hafta_Ozet!$C13;INDEX(Event_Girdi!$D:$D;MATCH($A40;Event_Girdi!$A:$A;0))&gt;=Hafta_Ozet!$B13);"ACTIVE";"")))</f>
      </c>
      <c r="P40">
        <f>IF($A40="";"";IF(Hafta_Ozet!$B14="";"";IF(AND(INDEX(Event_Girdi!$C:$C;MATCH($A40;Event_Girdi!$A:$A;0))&lt;=Hafta_Ozet!$C14;INDEX(Event_Girdi!$D:$D;MATCH($A40;Event_Girdi!$A:$A;0))&gt;=Hafta_Ozet!$B14);"ACTIVE";"")))</f>
      </c>
      <c r="Q40">
        <f>IF($A40="";"";IF(Hafta_Ozet!$B15="";"";IF(AND(INDEX(Event_Girdi!$C:$C;MATCH($A40;Event_Girdi!$A:$A;0))&lt;=Hafta_Ozet!$C15;INDEX(Event_Girdi!$D:$D;MATCH($A40;Event_Girdi!$A:$A;0))&gt;=Hafta_Ozet!$B15);"ACTIVE";"")))</f>
      </c>
      <c r="R40">
        <f>IF($A40="";"";IF(Hafta_Ozet!$B16="";"";IF(AND(INDEX(Event_Girdi!$C:$C;MATCH($A40;Event_Girdi!$A:$A;0))&lt;=Hafta_Ozet!$C16;INDEX(Event_Girdi!$D:$D;MATCH($A40;Event_Girdi!$A:$A;0))&gt;=Hafta_Ozet!$B16);"ACTIVE";"")))</f>
      </c>
      <c r="S40">
        <f>IF($A40="";"";IF(Hafta_Ozet!$B17="";"";IF(AND(INDEX(Event_Girdi!$C:$C;MATCH($A40;Event_Girdi!$A:$A;0))&lt;=Hafta_Ozet!$C17;INDEX(Event_Girdi!$D:$D;MATCH($A40;Event_Girdi!$A:$A;0))&gt;=Hafta_Ozet!$B17);"ACTIVE";"")))</f>
      </c>
      <c r="T40">
        <f>IF($A40="";"";IF(Hafta_Ozet!$B18="";"";IF(AND(INDEX(Event_Girdi!$C:$C;MATCH($A40;Event_Girdi!$A:$A;0))&lt;=Hafta_Ozet!$C18;INDEX(Event_Girdi!$D:$D;MATCH($A40;Event_Girdi!$A:$A;0))&gt;=Hafta_Ozet!$B18);"ACTIVE";"")))</f>
      </c>
      <c r="U40">
        <f>IF($A40="";"";IF(Hafta_Ozet!$B19="";"";IF(AND(INDEX(Event_Girdi!$C:$C;MATCH($A40;Event_Girdi!$A:$A;0))&lt;=Hafta_Ozet!$C19;INDEX(Event_Girdi!$D:$D;MATCH($A40;Event_Girdi!$A:$A;0))&gt;=Hafta_Ozet!$B19);"ACTIVE";"")))</f>
      </c>
      <c r="V40">
        <f>IF($A40="";"";IF(Hafta_Ozet!$B20="";"";IF(AND(INDEX(Event_Girdi!$C:$C;MATCH($A40;Event_Girdi!$A:$A;0))&lt;=Hafta_Ozet!$C20;INDEX(Event_Girdi!$D:$D;MATCH($A40;Event_Girdi!$A:$A;0))&gt;=Hafta_Ozet!$B20);"ACTIVE";"")))</f>
      </c>
      <c r="W40">
        <f>IF($A40="";"";IF(Hafta_Ozet!$B21="";"";IF(AND(INDEX(Event_Girdi!$C:$C;MATCH($A40;Event_Girdi!$A:$A;0))&lt;=Hafta_Ozet!$C21;INDEX(Event_Girdi!$D:$D;MATCH($A40;Event_Girdi!$A:$A;0))&gt;=Hafta_Ozet!$B21);"ACTIVE";"")))</f>
      </c>
    </row>
    <row r="41">
      <c r="A41">
        <f>IFERROR(INDEX(FILTER(Event_Girdi!$A$2:$A;Event_Girdi!$G$2:$G="Evet");10);"")</f>
      </c>
      <c r="B41">
        <f>IF($A41="";"";INDEX(Event_Girdi!$B:$B;MATCH($A41;Event_Girdi!$A:$A;0)))</f>
      </c>
      <c r="C41">
        <f>IF($A41="";"";INDEX(Event_Girdi!$E:$E;MATCH($A41;Event_Girdi!$A:$A;0)))</f>
      </c>
      <c r="D41">
        <f>IF($A41="";"";IF(Hafta_Ozet!$B2="";"";IF(AND(INDEX(Event_Girdi!$C:$C;MATCH($A41;Event_Girdi!$A:$A;0))&lt;=Hafta_Ozet!$C2;INDEX(Event_Girdi!$D:$D;MATCH($A41;Event_Girdi!$A:$A;0))&gt;=Hafta_Ozet!$B2);"ACTIVE";"")))</f>
      </c>
      <c r="E41">
        <f>IF($A41="";"";IF(Hafta_Ozet!$B3="";"";IF(AND(INDEX(Event_Girdi!$C:$C;MATCH($A41;Event_Girdi!$A:$A;0))&lt;=Hafta_Ozet!$C3;INDEX(Event_Girdi!$D:$D;MATCH($A41;Event_Girdi!$A:$A;0))&gt;=Hafta_Ozet!$B3);"ACTIVE";"")))</f>
      </c>
      <c r="F41">
        <f>IF($A41="";"";IF(Hafta_Ozet!$B4="";"";IF(AND(INDEX(Event_Girdi!$C:$C;MATCH($A41;Event_Girdi!$A:$A;0))&lt;=Hafta_Ozet!$C4;INDEX(Event_Girdi!$D:$D;MATCH($A41;Event_Girdi!$A:$A;0))&gt;=Hafta_Ozet!$B4);"ACTIVE";"")))</f>
      </c>
      <c r="G41">
        <f>IF($A41="";"";IF(Hafta_Ozet!$B5="";"";IF(AND(INDEX(Event_Girdi!$C:$C;MATCH($A41;Event_Girdi!$A:$A;0))&lt;=Hafta_Ozet!$C5;INDEX(Event_Girdi!$D:$D;MATCH($A41;Event_Girdi!$A:$A;0))&gt;=Hafta_Ozet!$B5);"ACTIVE";"")))</f>
      </c>
      <c r="H41">
        <f>IF($A41="";"";IF(Hafta_Ozet!$B6="";"";IF(AND(INDEX(Event_Girdi!$C:$C;MATCH($A41;Event_Girdi!$A:$A;0))&lt;=Hafta_Ozet!$C6;INDEX(Event_Girdi!$D:$D;MATCH($A41;Event_Girdi!$A:$A;0))&gt;=Hafta_Ozet!$B6);"ACTIVE";"")))</f>
      </c>
      <c r="I41">
        <f>IF($A41="";"";IF(Hafta_Ozet!$B7="";"";IF(AND(INDEX(Event_Girdi!$C:$C;MATCH($A41;Event_Girdi!$A:$A;0))&lt;=Hafta_Ozet!$C7;INDEX(Event_Girdi!$D:$D;MATCH($A41;Event_Girdi!$A:$A;0))&gt;=Hafta_Ozet!$B7);"ACTIVE";"")))</f>
      </c>
      <c r="J41">
        <f>IF($A41="";"";IF(Hafta_Ozet!$B8="";"";IF(AND(INDEX(Event_Girdi!$C:$C;MATCH($A41;Event_Girdi!$A:$A;0))&lt;=Hafta_Ozet!$C8;INDEX(Event_Girdi!$D:$D;MATCH($A41;Event_Girdi!$A:$A;0))&gt;=Hafta_Ozet!$B8);"ACTIVE";"")))</f>
      </c>
      <c r="K41">
        <f>IF($A41="";"";IF(Hafta_Ozet!$B9="";"";IF(AND(INDEX(Event_Girdi!$C:$C;MATCH($A41;Event_Girdi!$A:$A;0))&lt;=Hafta_Ozet!$C9;INDEX(Event_Girdi!$D:$D;MATCH($A41;Event_Girdi!$A:$A;0))&gt;=Hafta_Ozet!$B9);"ACTIVE";"")))</f>
      </c>
      <c r="L41">
        <f>IF($A41="";"";IF(Hafta_Ozet!$B10="";"";IF(AND(INDEX(Event_Girdi!$C:$C;MATCH($A41;Event_Girdi!$A:$A;0))&lt;=Hafta_Ozet!$C10;INDEX(Event_Girdi!$D:$D;MATCH($A41;Event_Girdi!$A:$A;0))&gt;=Hafta_Ozet!$B10);"ACTIVE";"")))</f>
      </c>
      <c r="M41">
        <f>IF($A41="";"";IF(Hafta_Ozet!$B11="";"";IF(AND(INDEX(Event_Girdi!$C:$C;MATCH($A41;Event_Girdi!$A:$A;0))&lt;=Hafta_Ozet!$C11;INDEX(Event_Girdi!$D:$D;MATCH($A41;Event_Girdi!$A:$A;0))&gt;=Hafta_Ozet!$B11);"ACTIVE";"")))</f>
      </c>
      <c r="N41">
        <f>IF($A41="";"";IF(Hafta_Ozet!$B12="";"";IF(AND(INDEX(Event_Girdi!$C:$C;MATCH($A41;Event_Girdi!$A:$A;0))&lt;=Hafta_Ozet!$C12;INDEX(Event_Girdi!$D:$D;MATCH($A41;Event_Girdi!$A:$A;0))&gt;=Hafta_Ozet!$B12);"ACTIVE";"")))</f>
      </c>
      <c r="O41">
        <f>IF($A41="";"";IF(Hafta_Ozet!$B13="";"";IF(AND(INDEX(Event_Girdi!$C:$C;MATCH($A41;Event_Girdi!$A:$A;0))&lt;=Hafta_Ozet!$C13;INDEX(Event_Girdi!$D:$D;MATCH($A41;Event_Girdi!$A:$A;0))&gt;=Hafta_Ozet!$B13);"ACTIVE";"")))</f>
      </c>
      <c r="P41">
        <f>IF($A41="";"";IF(Hafta_Ozet!$B14="";"";IF(AND(INDEX(Event_Girdi!$C:$C;MATCH($A41;Event_Girdi!$A:$A;0))&lt;=Hafta_Ozet!$C14;INDEX(Event_Girdi!$D:$D;MATCH($A41;Event_Girdi!$A:$A;0))&gt;=Hafta_Ozet!$B14);"ACTIVE";"")))</f>
      </c>
      <c r="Q41">
        <f>IF($A41="";"";IF(Hafta_Ozet!$B15="";"";IF(AND(INDEX(Event_Girdi!$C:$C;MATCH($A41;Event_Girdi!$A:$A;0))&lt;=Hafta_Ozet!$C15;INDEX(Event_Girdi!$D:$D;MATCH($A41;Event_Girdi!$A:$A;0))&gt;=Hafta_Ozet!$B15);"ACTIVE";"")))</f>
      </c>
      <c r="R41">
        <f>IF($A41="";"";IF(Hafta_Ozet!$B16="";"";IF(AND(INDEX(Event_Girdi!$C:$C;MATCH($A41;Event_Girdi!$A:$A;0))&lt;=Hafta_Ozet!$C16;INDEX(Event_Girdi!$D:$D;MATCH($A41;Event_Girdi!$A:$A;0))&gt;=Hafta_Ozet!$B16);"ACTIVE";"")))</f>
      </c>
      <c r="S41">
        <f>IF($A41="";"";IF(Hafta_Ozet!$B17="";"";IF(AND(INDEX(Event_Girdi!$C:$C;MATCH($A41;Event_Girdi!$A:$A;0))&lt;=Hafta_Ozet!$C17;INDEX(Event_Girdi!$D:$D;MATCH($A41;Event_Girdi!$A:$A;0))&gt;=Hafta_Ozet!$B17);"ACTIVE";"")))</f>
      </c>
      <c r="T41">
        <f>IF($A41="";"";IF(Hafta_Ozet!$B18="";"";IF(AND(INDEX(Event_Girdi!$C:$C;MATCH($A41;Event_Girdi!$A:$A;0))&lt;=Hafta_Ozet!$C18;INDEX(Event_Girdi!$D:$D;MATCH($A41;Event_Girdi!$A:$A;0))&gt;=Hafta_Ozet!$B18);"ACTIVE";"")))</f>
      </c>
      <c r="U41">
        <f>IF($A41="";"";IF(Hafta_Ozet!$B19="";"";IF(AND(INDEX(Event_Girdi!$C:$C;MATCH($A41;Event_Girdi!$A:$A;0))&lt;=Hafta_Ozet!$C19;INDEX(Event_Girdi!$D:$D;MATCH($A41;Event_Girdi!$A:$A;0))&gt;=Hafta_Ozet!$B19);"ACTIVE";"")))</f>
      </c>
      <c r="V41">
        <f>IF($A41="";"";IF(Hafta_Ozet!$B20="";"";IF(AND(INDEX(Event_Girdi!$C:$C;MATCH($A41;Event_Girdi!$A:$A;0))&lt;=Hafta_Ozet!$C20;INDEX(Event_Girdi!$D:$D;MATCH($A41;Event_Girdi!$A:$A;0))&gt;=Hafta_Ozet!$B20);"ACTIVE";"")))</f>
      </c>
      <c r="W41">
        <f>IF($A41="";"";IF(Hafta_Ozet!$B21="";"";IF(AND(INDEX(Event_Girdi!$C:$C;MATCH($A41;Event_Girdi!$A:$A;0))&lt;=Hafta_Ozet!$C21;INDEX(Event_Girdi!$D:$D;MATCH($A41;Event_Girdi!$A:$A;0))&gt;=Hafta_Ozet!$B21);"ACTIVE";"")))</f>
      </c>
    </row>
    <row r="42">
      <c r="A42">
        <f>IFERROR(INDEX(FILTER(Event_Girdi!$A$2:$A;Event_Girdi!$G$2:$G="Evet");11);"")</f>
      </c>
      <c r="B42">
        <f>IF($A42="";"";INDEX(Event_Girdi!$B:$B;MATCH($A42;Event_Girdi!$A:$A;0)))</f>
      </c>
      <c r="C42">
        <f>IF($A42="";"";INDEX(Event_Girdi!$E:$E;MATCH($A42;Event_Girdi!$A:$A;0)))</f>
      </c>
      <c r="D42">
        <f>IF($A42="";"";IF(Hafta_Ozet!$B2="";"";IF(AND(INDEX(Event_Girdi!$C:$C;MATCH($A42;Event_Girdi!$A:$A;0))&lt;=Hafta_Ozet!$C2;INDEX(Event_Girdi!$D:$D;MATCH($A42;Event_Girdi!$A:$A;0))&gt;=Hafta_Ozet!$B2);"ACTIVE";"")))</f>
      </c>
      <c r="E42">
        <f>IF($A42="";"";IF(Hafta_Ozet!$B3="";"";IF(AND(INDEX(Event_Girdi!$C:$C;MATCH($A42;Event_Girdi!$A:$A;0))&lt;=Hafta_Ozet!$C3;INDEX(Event_Girdi!$D:$D;MATCH($A42;Event_Girdi!$A:$A;0))&gt;=Hafta_Ozet!$B3);"ACTIVE";"")))</f>
      </c>
      <c r="F42">
        <f>IF($A42="";"";IF(Hafta_Ozet!$B4="";"";IF(AND(INDEX(Event_Girdi!$C:$C;MATCH($A42;Event_Girdi!$A:$A;0))&lt;=Hafta_Ozet!$C4;INDEX(Event_Girdi!$D:$D;MATCH($A42;Event_Girdi!$A:$A;0))&gt;=Hafta_Ozet!$B4);"ACTIVE";"")))</f>
      </c>
      <c r="G42">
        <f>IF($A42="";"";IF(Hafta_Ozet!$B5="";"";IF(AND(INDEX(Event_Girdi!$C:$C;MATCH($A42;Event_Girdi!$A:$A;0))&lt;=Hafta_Ozet!$C5;INDEX(Event_Girdi!$D:$D;MATCH($A42;Event_Girdi!$A:$A;0))&gt;=Hafta_Ozet!$B5);"ACTIVE";"")))</f>
      </c>
      <c r="H42">
        <f>IF($A42="";"";IF(Hafta_Ozet!$B6="";"";IF(AND(INDEX(Event_Girdi!$C:$C;MATCH($A42;Event_Girdi!$A:$A;0))&lt;=Hafta_Ozet!$C6;INDEX(Event_Girdi!$D:$D;MATCH($A42;Event_Girdi!$A:$A;0))&gt;=Hafta_Ozet!$B6);"ACTIVE";"")))</f>
      </c>
      <c r="I42">
        <f>IF($A42="";"";IF(Hafta_Ozet!$B7="";"";IF(AND(INDEX(Event_Girdi!$C:$C;MATCH($A42;Event_Girdi!$A:$A;0))&lt;=Hafta_Ozet!$C7;INDEX(Event_Girdi!$D:$D;MATCH($A42;Event_Girdi!$A:$A;0))&gt;=Hafta_Ozet!$B7);"ACTIVE";"")))</f>
      </c>
      <c r="J42">
        <f>IF($A42="";"";IF(Hafta_Ozet!$B8="";"";IF(AND(INDEX(Event_Girdi!$C:$C;MATCH($A42;Event_Girdi!$A:$A;0))&lt;=Hafta_Ozet!$C8;INDEX(Event_Girdi!$D:$D;MATCH($A42;Event_Girdi!$A:$A;0))&gt;=Hafta_Ozet!$B8);"ACTIVE";"")))</f>
      </c>
      <c r="K42">
        <f>IF($A42="";"";IF(Hafta_Ozet!$B9="";"";IF(AND(INDEX(Event_Girdi!$C:$C;MATCH($A42;Event_Girdi!$A:$A;0))&lt;=Hafta_Ozet!$C9;INDEX(Event_Girdi!$D:$D;MATCH($A42;Event_Girdi!$A:$A;0))&gt;=Hafta_Ozet!$B9);"ACTIVE";"")))</f>
      </c>
      <c r="L42">
        <f>IF($A42="";"";IF(Hafta_Ozet!$B10="";"";IF(AND(INDEX(Event_Girdi!$C:$C;MATCH($A42;Event_Girdi!$A:$A;0))&lt;=Hafta_Ozet!$C10;INDEX(Event_Girdi!$D:$D;MATCH($A42;Event_Girdi!$A:$A;0))&gt;=Hafta_Ozet!$B10);"ACTIVE";"")))</f>
      </c>
      <c r="M42">
        <f>IF($A42="";"";IF(Hafta_Ozet!$B11="";"";IF(AND(INDEX(Event_Girdi!$C:$C;MATCH($A42;Event_Girdi!$A:$A;0))&lt;=Hafta_Ozet!$C11;INDEX(Event_Girdi!$D:$D;MATCH($A42;Event_Girdi!$A:$A;0))&gt;=Hafta_Ozet!$B11);"ACTIVE";"")))</f>
      </c>
      <c r="N42">
        <f>IF($A42="";"";IF(Hafta_Ozet!$B12="";"";IF(AND(INDEX(Event_Girdi!$C:$C;MATCH($A42;Event_Girdi!$A:$A;0))&lt;=Hafta_Ozet!$C12;INDEX(Event_Girdi!$D:$D;MATCH($A42;Event_Girdi!$A:$A;0))&gt;=Hafta_Ozet!$B12);"ACTIVE";"")))</f>
      </c>
      <c r="O42">
        <f>IF($A42="";"";IF(Hafta_Ozet!$B13="";"";IF(AND(INDEX(Event_Girdi!$C:$C;MATCH($A42;Event_Girdi!$A:$A;0))&lt;=Hafta_Ozet!$C13;INDEX(Event_Girdi!$D:$D;MATCH($A42;Event_Girdi!$A:$A;0))&gt;=Hafta_Ozet!$B13);"ACTIVE";"")))</f>
      </c>
      <c r="P42">
        <f>IF($A42="";"";IF(Hafta_Ozet!$B14="";"";IF(AND(INDEX(Event_Girdi!$C:$C;MATCH($A42;Event_Girdi!$A:$A;0))&lt;=Hafta_Ozet!$C14;INDEX(Event_Girdi!$D:$D;MATCH($A42;Event_Girdi!$A:$A;0))&gt;=Hafta_Ozet!$B14);"ACTIVE";"")))</f>
      </c>
      <c r="Q42">
        <f>IF($A42="";"";IF(Hafta_Ozet!$B15="";"";IF(AND(INDEX(Event_Girdi!$C:$C;MATCH($A42;Event_Girdi!$A:$A;0))&lt;=Hafta_Ozet!$C15;INDEX(Event_Girdi!$D:$D;MATCH($A42;Event_Girdi!$A:$A;0))&gt;=Hafta_Ozet!$B15);"ACTIVE";"")))</f>
      </c>
      <c r="R42">
        <f>IF($A42="";"";IF(Hafta_Ozet!$B16="";"";IF(AND(INDEX(Event_Girdi!$C:$C;MATCH($A42;Event_Girdi!$A:$A;0))&lt;=Hafta_Ozet!$C16;INDEX(Event_Girdi!$D:$D;MATCH($A42;Event_Girdi!$A:$A;0))&gt;=Hafta_Ozet!$B16);"ACTIVE";"")))</f>
      </c>
      <c r="S42">
        <f>IF($A42="";"";IF(Hafta_Ozet!$B17="";"";IF(AND(INDEX(Event_Girdi!$C:$C;MATCH($A42;Event_Girdi!$A:$A;0))&lt;=Hafta_Ozet!$C17;INDEX(Event_Girdi!$D:$D;MATCH($A42;Event_Girdi!$A:$A;0))&gt;=Hafta_Ozet!$B17);"ACTIVE";"")))</f>
      </c>
      <c r="T42">
        <f>IF($A42="";"";IF(Hafta_Ozet!$B18="";"";IF(AND(INDEX(Event_Girdi!$C:$C;MATCH($A42;Event_Girdi!$A:$A;0))&lt;=Hafta_Ozet!$C18;INDEX(Event_Girdi!$D:$D;MATCH($A42;Event_Girdi!$A:$A;0))&gt;=Hafta_Ozet!$B18);"ACTIVE";"")))</f>
      </c>
      <c r="U42">
        <f>IF($A42="";"";IF(Hafta_Ozet!$B19="";"";IF(AND(INDEX(Event_Girdi!$C:$C;MATCH($A42;Event_Girdi!$A:$A;0))&lt;=Hafta_Ozet!$C19;INDEX(Event_Girdi!$D:$D;MATCH($A42;Event_Girdi!$A:$A;0))&gt;=Hafta_Ozet!$B19);"ACTIVE";"")))</f>
      </c>
      <c r="V42">
        <f>IF($A42="";"";IF(Hafta_Ozet!$B20="";"";IF(AND(INDEX(Event_Girdi!$C:$C;MATCH($A42;Event_Girdi!$A:$A;0))&lt;=Hafta_Ozet!$C20;INDEX(Event_Girdi!$D:$D;MATCH($A42;Event_Girdi!$A:$A;0))&gt;=Hafta_Ozet!$B20);"ACTIVE";"")))</f>
      </c>
      <c r="W42">
        <f>IF($A42="";"";IF(Hafta_Ozet!$B21="";"";IF(AND(INDEX(Event_Girdi!$C:$C;MATCH($A42;Event_Girdi!$A:$A;0))&lt;=Hafta_Ozet!$C21;INDEX(Event_Girdi!$D:$D;MATCH($A42;Event_Girdi!$A:$A;0))&gt;=Hafta_Ozet!$B21);"ACTIVE";"")))</f>
      </c>
    </row>
    <row r="43">
      <c r="A43">
        <f>IFERROR(INDEX(FILTER(Event_Girdi!$A$2:$A;Event_Girdi!$G$2:$G="Evet");12);"")</f>
      </c>
      <c r="B43">
        <f>IF($A43="";"";INDEX(Event_Girdi!$B:$B;MATCH($A43;Event_Girdi!$A:$A;0)))</f>
      </c>
      <c r="C43">
        <f>IF($A43="";"";INDEX(Event_Girdi!$E:$E;MATCH($A43;Event_Girdi!$A:$A;0)))</f>
      </c>
      <c r="D43">
        <f>IF($A43="";"";IF(Hafta_Ozet!$B2="";"";IF(AND(INDEX(Event_Girdi!$C:$C;MATCH($A43;Event_Girdi!$A:$A;0))&lt;=Hafta_Ozet!$C2;INDEX(Event_Girdi!$D:$D;MATCH($A43;Event_Girdi!$A:$A;0))&gt;=Hafta_Ozet!$B2);"ACTIVE";"")))</f>
      </c>
      <c r="E43">
        <f>IF($A43="";"";IF(Hafta_Ozet!$B3="";"";IF(AND(INDEX(Event_Girdi!$C:$C;MATCH($A43;Event_Girdi!$A:$A;0))&lt;=Hafta_Ozet!$C3;INDEX(Event_Girdi!$D:$D;MATCH($A43;Event_Girdi!$A:$A;0))&gt;=Hafta_Ozet!$B3);"ACTIVE";"")))</f>
      </c>
      <c r="F43">
        <f>IF($A43="";"";IF(Hafta_Ozet!$B4="";"";IF(AND(INDEX(Event_Girdi!$C:$C;MATCH($A43;Event_Girdi!$A:$A;0))&lt;=Hafta_Ozet!$C4;INDEX(Event_Girdi!$D:$D;MATCH($A43;Event_Girdi!$A:$A;0))&gt;=Hafta_Ozet!$B4);"ACTIVE";"")))</f>
      </c>
      <c r="G43">
        <f>IF($A43="";"";IF(Hafta_Ozet!$B5="";"";IF(AND(INDEX(Event_Girdi!$C:$C;MATCH($A43;Event_Girdi!$A:$A;0))&lt;=Hafta_Ozet!$C5;INDEX(Event_Girdi!$D:$D;MATCH($A43;Event_Girdi!$A:$A;0))&gt;=Hafta_Ozet!$B5);"ACTIVE";"")))</f>
      </c>
      <c r="H43">
        <f>IF($A43="";"";IF(Hafta_Ozet!$B6="";"";IF(AND(INDEX(Event_Girdi!$C:$C;MATCH($A43;Event_Girdi!$A:$A;0))&lt;=Hafta_Ozet!$C6;INDEX(Event_Girdi!$D:$D;MATCH($A43;Event_Girdi!$A:$A;0))&gt;=Hafta_Ozet!$B6);"ACTIVE";"")))</f>
      </c>
      <c r="I43">
        <f>IF($A43="";"";IF(Hafta_Ozet!$B7="";"";IF(AND(INDEX(Event_Girdi!$C:$C;MATCH($A43;Event_Girdi!$A:$A;0))&lt;=Hafta_Ozet!$C7;INDEX(Event_Girdi!$D:$D;MATCH($A43;Event_Girdi!$A:$A;0))&gt;=Hafta_Ozet!$B7);"ACTIVE";"")))</f>
      </c>
      <c r="J43">
        <f>IF($A43="";"";IF(Hafta_Ozet!$B8="";"";IF(AND(INDEX(Event_Girdi!$C:$C;MATCH($A43;Event_Girdi!$A:$A;0))&lt;=Hafta_Ozet!$C8;INDEX(Event_Girdi!$D:$D;MATCH($A43;Event_Girdi!$A:$A;0))&gt;=Hafta_Ozet!$B8);"ACTIVE";"")))</f>
      </c>
      <c r="K43">
        <f>IF($A43="";"";IF(Hafta_Ozet!$B9="";"";IF(AND(INDEX(Event_Girdi!$C:$C;MATCH($A43;Event_Girdi!$A:$A;0))&lt;=Hafta_Ozet!$C9;INDEX(Event_Girdi!$D:$D;MATCH($A43;Event_Girdi!$A:$A;0))&gt;=Hafta_Ozet!$B9);"ACTIVE";"")))</f>
      </c>
      <c r="L43">
        <f>IF($A43="";"";IF(Hafta_Ozet!$B10="";"";IF(AND(INDEX(Event_Girdi!$C:$C;MATCH($A43;Event_Girdi!$A:$A;0))&lt;=Hafta_Ozet!$C10;INDEX(Event_Girdi!$D:$D;MATCH($A43;Event_Girdi!$A:$A;0))&gt;=Hafta_Ozet!$B10);"ACTIVE";"")))</f>
      </c>
      <c r="M43">
        <f>IF($A43="";"";IF(Hafta_Ozet!$B11="";"";IF(AND(INDEX(Event_Girdi!$C:$C;MATCH($A43;Event_Girdi!$A:$A;0))&lt;=Hafta_Ozet!$C11;INDEX(Event_Girdi!$D:$D;MATCH($A43;Event_Girdi!$A:$A;0))&gt;=Hafta_Ozet!$B11);"ACTIVE";"")))</f>
      </c>
      <c r="N43">
        <f>IF($A43="";"";IF(Hafta_Ozet!$B12="";"";IF(AND(INDEX(Event_Girdi!$C:$C;MATCH($A43;Event_Girdi!$A:$A;0))&lt;=Hafta_Ozet!$C12;INDEX(Event_Girdi!$D:$D;MATCH($A43;Event_Girdi!$A:$A;0))&gt;=Hafta_Ozet!$B12);"ACTIVE";"")))</f>
      </c>
      <c r="O43">
        <f>IF($A43="";"";IF(Hafta_Ozet!$B13="";"";IF(AND(INDEX(Event_Girdi!$C:$C;MATCH($A43;Event_Girdi!$A:$A;0))&lt;=Hafta_Ozet!$C13;INDEX(Event_Girdi!$D:$D;MATCH($A43;Event_Girdi!$A:$A;0))&gt;=Hafta_Ozet!$B13);"ACTIVE";"")))</f>
      </c>
      <c r="P43">
        <f>IF($A43="";"";IF(Hafta_Ozet!$B14="";"";IF(AND(INDEX(Event_Girdi!$C:$C;MATCH($A43;Event_Girdi!$A:$A;0))&lt;=Hafta_Ozet!$C14;INDEX(Event_Girdi!$D:$D;MATCH($A43;Event_Girdi!$A:$A;0))&gt;=Hafta_Ozet!$B14);"ACTIVE";"")))</f>
      </c>
      <c r="Q43">
        <f>IF($A43="";"";IF(Hafta_Ozet!$B15="";"";IF(AND(INDEX(Event_Girdi!$C:$C;MATCH($A43;Event_Girdi!$A:$A;0))&lt;=Hafta_Ozet!$C15;INDEX(Event_Girdi!$D:$D;MATCH($A43;Event_Girdi!$A:$A;0))&gt;=Hafta_Ozet!$B15);"ACTIVE";"")))</f>
      </c>
      <c r="R43">
        <f>IF($A43="";"";IF(Hafta_Ozet!$B16="";"";IF(AND(INDEX(Event_Girdi!$C:$C;MATCH($A43;Event_Girdi!$A:$A;0))&lt;=Hafta_Ozet!$C16;INDEX(Event_Girdi!$D:$D;MATCH($A43;Event_Girdi!$A:$A;0))&gt;=Hafta_Ozet!$B16);"ACTIVE";"")))</f>
      </c>
      <c r="S43">
        <f>IF($A43="";"";IF(Hafta_Ozet!$B17="";"";IF(AND(INDEX(Event_Girdi!$C:$C;MATCH($A43;Event_Girdi!$A:$A;0))&lt;=Hafta_Ozet!$C17;INDEX(Event_Girdi!$D:$D;MATCH($A43;Event_Girdi!$A:$A;0))&gt;=Hafta_Ozet!$B17);"ACTIVE";"")))</f>
      </c>
      <c r="T43">
        <f>IF($A43="";"";IF(Hafta_Ozet!$B18="";"";IF(AND(INDEX(Event_Girdi!$C:$C;MATCH($A43;Event_Girdi!$A:$A;0))&lt;=Hafta_Ozet!$C18;INDEX(Event_Girdi!$D:$D;MATCH($A43;Event_Girdi!$A:$A;0))&gt;=Hafta_Ozet!$B18);"ACTIVE";"")))</f>
      </c>
      <c r="U43">
        <f>IF($A43="";"";IF(Hafta_Ozet!$B19="";"";IF(AND(INDEX(Event_Girdi!$C:$C;MATCH($A43;Event_Girdi!$A:$A;0))&lt;=Hafta_Ozet!$C19;INDEX(Event_Girdi!$D:$D;MATCH($A43;Event_Girdi!$A:$A;0))&gt;=Hafta_Ozet!$B19);"ACTIVE";"")))</f>
      </c>
      <c r="V43">
        <f>IF($A43="";"";IF(Hafta_Ozet!$B20="";"";IF(AND(INDEX(Event_Girdi!$C:$C;MATCH($A43;Event_Girdi!$A:$A;0))&lt;=Hafta_Ozet!$C20;INDEX(Event_Girdi!$D:$D;MATCH($A43;Event_Girdi!$A:$A;0))&gt;=Hafta_Ozet!$B20);"ACTIVE";"")))</f>
      </c>
      <c r="W43">
        <f>IF($A43="";"";IF(Hafta_Ozet!$B21="";"";IF(AND(INDEX(Event_Girdi!$C:$C;MATCH($A43;Event_Girdi!$A:$A;0))&lt;=Hafta_Ozet!$C21;INDEX(Event_Girdi!$D:$D;MATCH($A43;Event_Girdi!$A:$A;0))&gt;=Hafta_Ozet!$B21);"ACTIVE";"")))</f>
      </c>
    </row>
    <row r="44">
      <c r="A44">
        <f>IFERROR(INDEX(FILTER(Event_Girdi!$A$2:$A;Event_Girdi!$G$2:$G="Evet");13);"")</f>
      </c>
      <c r="B44">
        <f>IF($A44="";"";INDEX(Event_Girdi!$B:$B;MATCH($A44;Event_Girdi!$A:$A;0)))</f>
      </c>
      <c r="C44">
        <f>IF($A44="";"";INDEX(Event_Girdi!$E:$E;MATCH($A44;Event_Girdi!$A:$A;0)))</f>
      </c>
      <c r="D44">
        <f>IF($A44="";"";IF(Hafta_Ozet!$B2="";"";IF(AND(INDEX(Event_Girdi!$C:$C;MATCH($A44;Event_Girdi!$A:$A;0))&lt;=Hafta_Ozet!$C2;INDEX(Event_Girdi!$D:$D;MATCH($A44;Event_Girdi!$A:$A;0))&gt;=Hafta_Ozet!$B2);"ACTIVE";"")))</f>
      </c>
      <c r="E44">
        <f>IF($A44="";"";IF(Hafta_Ozet!$B3="";"";IF(AND(INDEX(Event_Girdi!$C:$C;MATCH($A44;Event_Girdi!$A:$A;0))&lt;=Hafta_Ozet!$C3;INDEX(Event_Girdi!$D:$D;MATCH($A44;Event_Girdi!$A:$A;0))&gt;=Hafta_Ozet!$B3);"ACTIVE";"")))</f>
      </c>
      <c r="F44">
        <f>IF($A44="";"";IF(Hafta_Ozet!$B4="";"";IF(AND(INDEX(Event_Girdi!$C:$C;MATCH($A44;Event_Girdi!$A:$A;0))&lt;=Hafta_Ozet!$C4;INDEX(Event_Girdi!$D:$D;MATCH($A44;Event_Girdi!$A:$A;0))&gt;=Hafta_Ozet!$B4);"ACTIVE";"")))</f>
      </c>
      <c r="G44">
        <f>IF($A44="";"";IF(Hafta_Ozet!$B5="";"";IF(AND(INDEX(Event_Girdi!$C:$C;MATCH($A44;Event_Girdi!$A:$A;0))&lt;=Hafta_Ozet!$C5;INDEX(Event_Girdi!$D:$D;MATCH($A44;Event_Girdi!$A:$A;0))&gt;=Hafta_Ozet!$B5);"ACTIVE";"")))</f>
      </c>
      <c r="H44">
        <f>IF($A44="";"";IF(Hafta_Ozet!$B6="";"";IF(AND(INDEX(Event_Girdi!$C:$C;MATCH($A44;Event_Girdi!$A:$A;0))&lt;=Hafta_Ozet!$C6;INDEX(Event_Girdi!$D:$D;MATCH($A44;Event_Girdi!$A:$A;0))&gt;=Hafta_Ozet!$B6);"ACTIVE";"")))</f>
      </c>
      <c r="I44">
        <f>IF($A44="";"";IF(Hafta_Ozet!$B7="";"";IF(AND(INDEX(Event_Girdi!$C:$C;MATCH($A44;Event_Girdi!$A:$A;0))&lt;=Hafta_Ozet!$C7;INDEX(Event_Girdi!$D:$D;MATCH($A44;Event_Girdi!$A:$A;0))&gt;=Hafta_Ozet!$B7);"ACTIVE";"")))</f>
      </c>
      <c r="J44">
        <f>IF($A44="";"";IF(Hafta_Ozet!$B8="";"";IF(AND(INDEX(Event_Girdi!$C:$C;MATCH($A44;Event_Girdi!$A:$A;0))&lt;=Hafta_Ozet!$C8;INDEX(Event_Girdi!$D:$D;MATCH($A44;Event_Girdi!$A:$A;0))&gt;=Hafta_Ozet!$B8);"ACTIVE";"")))</f>
      </c>
      <c r="K44">
        <f>IF($A44="";"";IF(Hafta_Ozet!$B9="";"";IF(AND(INDEX(Event_Girdi!$C:$C;MATCH($A44;Event_Girdi!$A:$A;0))&lt;=Hafta_Ozet!$C9;INDEX(Event_Girdi!$D:$D;MATCH($A44;Event_Girdi!$A:$A;0))&gt;=Hafta_Ozet!$B9);"ACTIVE";"")))</f>
      </c>
      <c r="L44">
        <f>IF($A44="";"";IF(Hafta_Ozet!$B10="";"";IF(AND(INDEX(Event_Girdi!$C:$C;MATCH($A44;Event_Girdi!$A:$A;0))&lt;=Hafta_Ozet!$C10;INDEX(Event_Girdi!$D:$D;MATCH($A44;Event_Girdi!$A:$A;0))&gt;=Hafta_Ozet!$B10);"ACTIVE";"")))</f>
      </c>
      <c r="M44">
        <f>IF($A44="";"";IF(Hafta_Ozet!$B11="";"";IF(AND(INDEX(Event_Girdi!$C:$C;MATCH($A44;Event_Girdi!$A:$A;0))&lt;=Hafta_Ozet!$C11;INDEX(Event_Girdi!$D:$D;MATCH($A44;Event_Girdi!$A:$A;0))&gt;=Hafta_Ozet!$B11);"ACTIVE";"")))</f>
      </c>
      <c r="N44">
        <f>IF($A44="";"";IF(Hafta_Ozet!$B12="";"";IF(AND(INDEX(Event_Girdi!$C:$C;MATCH($A44;Event_Girdi!$A:$A;0))&lt;=Hafta_Ozet!$C12;INDEX(Event_Girdi!$D:$D;MATCH($A44;Event_Girdi!$A:$A;0))&gt;=Hafta_Ozet!$B12);"ACTIVE";"")))</f>
      </c>
      <c r="O44">
        <f>IF($A44="";"";IF(Hafta_Ozet!$B13="";"";IF(AND(INDEX(Event_Girdi!$C:$C;MATCH($A44;Event_Girdi!$A:$A;0))&lt;=Hafta_Ozet!$C13;INDEX(Event_Girdi!$D:$D;MATCH($A44;Event_Girdi!$A:$A;0))&gt;=Hafta_Ozet!$B13);"ACTIVE";"")))</f>
      </c>
      <c r="P44">
        <f>IF($A44="";"";IF(Hafta_Ozet!$B14="";"";IF(AND(INDEX(Event_Girdi!$C:$C;MATCH($A44;Event_Girdi!$A:$A;0))&lt;=Hafta_Ozet!$C14;INDEX(Event_Girdi!$D:$D;MATCH($A44;Event_Girdi!$A:$A;0))&gt;=Hafta_Ozet!$B14);"ACTIVE";"")))</f>
      </c>
      <c r="Q44">
        <f>IF($A44="";"";IF(Hafta_Ozet!$B15="";"";IF(AND(INDEX(Event_Girdi!$C:$C;MATCH($A44;Event_Girdi!$A:$A;0))&lt;=Hafta_Ozet!$C15;INDEX(Event_Girdi!$D:$D;MATCH($A44;Event_Girdi!$A:$A;0))&gt;=Hafta_Ozet!$B15);"ACTIVE";"")))</f>
      </c>
      <c r="R44">
        <f>IF($A44="";"";IF(Hafta_Ozet!$B16="";"";IF(AND(INDEX(Event_Girdi!$C:$C;MATCH($A44;Event_Girdi!$A:$A;0))&lt;=Hafta_Ozet!$C16;INDEX(Event_Girdi!$D:$D;MATCH($A44;Event_Girdi!$A:$A;0))&gt;=Hafta_Ozet!$B16);"ACTIVE";"")))</f>
      </c>
      <c r="S44">
        <f>IF($A44="";"";IF(Hafta_Ozet!$B17="";"";IF(AND(INDEX(Event_Girdi!$C:$C;MATCH($A44;Event_Girdi!$A:$A;0))&lt;=Hafta_Ozet!$C17;INDEX(Event_Girdi!$D:$D;MATCH($A44;Event_Girdi!$A:$A;0))&gt;=Hafta_Ozet!$B17);"ACTIVE";"")))</f>
      </c>
      <c r="T44">
        <f>IF($A44="";"";IF(Hafta_Ozet!$B18="";"";IF(AND(INDEX(Event_Girdi!$C:$C;MATCH($A44;Event_Girdi!$A:$A;0))&lt;=Hafta_Ozet!$C18;INDEX(Event_Girdi!$D:$D;MATCH($A44;Event_Girdi!$A:$A;0))&gt;=Hafta_Ozet!$B18);"ACTIVE";"")))</f>
      </c>
      <c r="U44">
        <f>IF($A44="";"";IF(Hafta_Ozet!$B19="";"";IF(AND(INDEX(Event_Girdi!$C:$C;MATCH($A44;Event_Girdi!$A:$A;0))&lt;=Hafta_Ozet!$C19;INDEX(Event_Girdi!$D:$D;MATCH($A44;Event_Girdi!$A:$A;0))&gt;=Hafta_Ozet!$B19);"ACTIVE";"")))</f>
      </c>
      <c r="V44">
        <f>IF($A44="";"";IF(Hafta_Ozet!$B20="";"";IF(AND(INDEX(Event_Girdi!$C:$C;MATCH($A44;Event_Girdi!$A:$A;0))&lt;=Hafta_Ozet!$C20;INDEX(Event_Girdi!$D:$D;MATCH($A44;Event_Girdi!$A:$A;0))&gt;=Hafta_Ozet!$B20);"ACTIVE";"")))</f>
      </c>
      <c r="W44">
        <f>IF($A44="";"";IF(Hafta_Ozet!$B21="";"";IF(AND(INDEX(Event_Girdi!$C:$C;MATCH($A44;Event_Girdi!$A:$A;0))&lt;=Hafta_Ozet!$C21;INDEX(Event_Girdi!$D:$D;MATCH($A44;Event_Girdi!$A:$A;0))&gt;=Hafta_Ozet!$B21);"ACTIVE";"")))</f>
      </c>
    </row>
    <row r="45">
      <c r="A45">
        <f>IFERROR(INDEX(FILTER(Event_Girdi!$A$2:$A;Event_Girdi!$G$2:$G="Evet");14);"")</f>
      </c>
      <c r="B45">
        <f>IF($A45="";"";INDEX(Event_Girdi!$B:$B;MATCH($A45;Event_Girdi!$A:$A;0)))</f>
      </c>
      <c r="C45">
        <f>IF($A45="";"";INDEX(Event_Girdi!$E:$E;MATCH($A45;Event_Girdi!$A:$A;0)))</f>
      </c>
      <c r="D45">
        <f>IF($A45="";"";IF(Hafta_Ozet!$B2="";"";IF(AND(INDEX(Event_Girdi!$C:$C;MATCH($A45;Event_Girdi!$A:$A;0))&lt;=Hafta_Ozet!$C2;INDEX(Event_Girdi!$D:$D;MATCH($A45;Event_Girdi!$A:$A;0))&gt;=Hafta_Ozet!$B2);"ACTIVE";"")))</f>
      </c>
      <c r="E45">
        <f>IF($A45="";"";IF(Hafta_Ozet!$B3="";"";IF(AND(INDEX(Event_Girdi!$C:$C;MATCH($A45;Event_Girdi!$A:$A;0))&lt;=Hafta_Ozet!$C3;INDEX(Event_Girdi!$D:$D;MATCH($A45;Event_Girdi!$A:$A;0))&gt;=Hafta_Ozet!$B3);"ACTIVE";"")))</f>
      </c>
      <c r="F45">
        <f>IF($A45="";"";IF(Hafta_Ozet!$B4="";"";IF(AND(INDEX(Event_Girdi!$C:$C;MATCH($A45;Event_Girdi!$A:$A;0))&lt;=Hafta_Ozet!$C4;INDEX(Event_Girdi!$D:$D;MATCH($A45;Event_Girdi!$A:$A;0))&gt;=Hafta_Ozet!$B4);"ACTIVE";"")))</f>
      </c>
      <c r="G45">
        <f>IF($A45="";"";IF(Hafta_Ozet!$B5="";"";IF(AND(INDEX(Event_Girdi!$C:$C;MATCH($A45;Event_Girdi!$A:$A;0))&lt;=Hafta_Ozet!$C5;INDEX(Event_Girdi!$D:$D;MATCH($A45;Event_Girdi!$A:$A;0))&gt;=Hafta_Ozet!$B5);"ACTIVE";"")))</f>
      </c>
      <c r="H45">
        <f>IF($A45="";"";IF(Hafta_Ozet!$B6="";"";IF(AND(INDEX(Event_Girdi!$C:$C;MATCH($A45;Event_Girdi!$A:$A;0))&lt;=Hafta_Ozet!$C6;INDEX(Event_Girdi!$D:$D;MATCH($A45;Event_Girdi!$A:$A;0))&gt;=Hafta_Ozet!$B6);"ACTIVE";"")))</f>
      </c>
      <c r="I45">
        <f>IF($A45="";"";IF(Hafta_Ozet!$B7="";"";IF(AND(INDEX(Event_Girdi!$C:$C;MATCH($A45;Event_Girdi!$A:$A;0))&lt;=Hafta_Ozet!$C7;INDEX(Event_Girdi!$D:$D;MATCH($A45;Event_Girdi!$A:$A;0))&gt;=Hafta_Ozet!$B7);"ACTIVE";"")))</f>
      </c>
      <c r="J45">
        <f>IF($A45="";"";IF(Hafta_Ozet!$B8="";"";IF(AND(INDEX(Event_Girdi!$C:$C;MATCH($A45;Event_Girdi!$A:$A;0))&lt;=Hafta_Ozet!$C8;INDEX(Event_Girdi!$D:$D;MATCH($A45;Event_Girdi!$A:$A;0))&gt;=Hafta_Ozet!$B8);"ACTIVE";"")))</f>
      </c>
      <c r="K45">
        <f>IF($A45="";"";IF(Hafta_Ozet!$B9="";"";IF(AND(INDEX(Event_Girdi!$C:$C;MATCH($A45;Event_Girdi!$A:$A;0))&lt;=Hafta_Ozet!$C9;INDEX(Event_Girdi!$D:$D;MATCH($A45;Event_Girdi!$A:$A;0))&gt;=Hafta_Ozet!$B9);"ACTIVE";"")))</f>
      </c>
      <c r="L45">
        <f>IF($A45="";"";IF(Hafta_Ozet!$B10="";"";IF(AND(INDEX(Event_Girdi!$C:$C;MATCH($A45;Event_Girdi!$A:$A;0))&lt;=Hafta_Ozet!$C10;INDEX(Event_Girdi!$D:$D;MATCH($A45;Event_Girdi!$A:$A;0))&gt;=Hafta_Ozet!$B10);"ACTIVE";"")))</f>
      </c>
      <c r="M45">
        <f>IF($A45="";"";IF(Hafta_Ozet!$B11="";"";IF(AND(INDEX(Event_Girdi!$C:$C;MATCH($A45;Event_Girdi!$A:$A;0))&lt;=Hafta_Ozet!$C11;INDEX(Event_Girdi!$D:$D;MATCH($A45;Event_Girdi!$A:$A;0))&gt;=Hafta_Ozet!$B11);"ACTIVE";"")))</f>
      </c>
      <c r="N45">
        <f>IF($A45="";"";IF(Hafta_Ozet!$B12="";"";IF(AND(INDEX(Event_Girdi!$C:$C;MATCH($A45;Event_Girdi!$A:$A;0))&lt;=Hafta_Ozet!$C12;INDEX(Event_Girdi!$D:$D;MATCH($A45;Event_Girdi!$A:$A;0))&gt;=Hafta_Ozet!$B12);"ACTIVE";"")))</f>
      </c>
      <c r="O45">
        <f>IF($A45="";"";IF(Hafta_Ozet!$B13="";"";IF(AND(INDEX(Event_Girdi!$C:$C;MATCH($A45;Event_Girdi!$A:$A;0))&lt;=Hafta_Ozet!$C13;INDEX(Event_Girdi!$D:$D;MATCH($A45;Event_Girdi!$A:$A;0))&gt;=Hafta_Ozet!$B13);"ACTIVE";"")))</f>
      </c>
      <c r="P45">
        <f>IF($A45="";"";IF(Hafta_Ozet!$B14="";"";IF(AND(INDEX(Event_Girdi!$C:$C;MATCH($A45;Event_Girdi!$A:$A;0))&lt;=Hafta_Ozet!$C14;INDEX(Event_Girdi!$D:$D;MATCH($A45;Event_Girdi!$A:$A;0))&gt;=Hafta_Ozet!$B14);"ACTIVE";"")))</f>
      </c>
      <c r="Q45">
        <f>IF($A45="";"";IF(Hafta_Ozet!$B15="";"";IF(AND(INDEX(Event_Girdi!$C:$C;MATCH($A45;Event_Girdi!$A:$A;0))&lt;=Hafta_Ozet!$C15;INDEX(Event_Girdi!$D:$D;MATCH($A45;Event_Girdi!$A:$A;0))&gt;=Hafta_Ozet!$B15);"ACTIVE";"")))</f>
      </c>
      <c r="R45">
        <f>IF($A45="";"";IF(Hafta_Ozet!$B16="";"";IF(AND(INDEX(Event_Girdi!$C:$C;MATCH($A45;Event_Girdi!$A:$A;0))&lt;=Hafta_Ozet!$C16;INDEX(Event_Girdi!$D:$D;MATCH($A45;Event_Girdi!$A:$A;0))&gt;=Hafta_Ozet!$B16);"ACTIVE";"")))</f>
      </c>
      <c r="S45">
        <f>IF($A45="";"";IF(Hafta_Ozet!$B17="";"";IF(AND(INDEX(Event_Girdi!$C:$C;MATCH($A45;Event_Girdi!$A:$A;0))&lt;=Hafta_Ozet!$C17;INDEX(Event_Girdi!$D:$D;MATCH($A45;Event_Girdi!$A:$A;0))&gt;=Hafta_Ozet!$B17);"ACTIVE";"")))</f>
      </c>
      <c r="T45">
        <f>IF($A45="";"";IF(Hafta_Ozet!$B18="";"";IF(AND(INDEX(Event_Girdi!$C:$C;MATCH($A45;Event_Girdi!$A:$A;0))&lt;=Hafta_Ozet!$C18;INDEX(Event_Girdi!$D:$D;MATCH($A45;Event_Girdi!$A:$A;0))&gt;=Hafta_Ozet!$B18);"ACTIVE";"")))</f>
      </c>
      <c r="U45">
        <f>IF($A45="";"";IF(Hafta_Ozet!$B19="";"";IF(AND(INDEX(Event_Girdi!$C:$C;MATCH($A45;Event_Girdi!$A:$A;0))&lt;=Hafta_Ozet!$C19;INDEX(Event_Girdi!$D:$D;MATCH($A45;Event_Girdi!$A:$A;0))&gt;=Hafta_Ozet!$B19);"ACTIVE";"")))</f>
      </c>
      <c r="V45">
        <f>IF($A45="";"";IF(Hafta_Ozet!$B20="";"";IF(AND(INDEX(Event_Girdi!$C:$C;MATCH($A45;Event_Girdi!$A:$A;0))&lt;=Hafta_Ozet!$C20;INDEX(Event_Girdi!$D:$D;MATCH($A45;Event_Girdi!$A:$A;0))&gt;=Hafta_Ozet!$B20);"ACTIVE";"")))</f>
      </c>
      <c r="W45">
        <f>IF($A45="";"";IF(Hafta_Ozet!$B21="";"";IF(AND(INDEX(Event_Girdi!$C:$C;MATCH($A45;Event_Girdi!$A:$A;0))&lt;=Hafta_Ozet!$C21;INDEX(Event_Girdi!$D:$D;MATCH($A45;Event_Girdi!$A:$A;0))&gt;=Hafta_Ozet!$B21);"ACTIVE";"")))</f>
      </c>
    </row>
    <row r="46">
      <c r="A46">
        <f>IFERROR(INDEX(FILTER(Event_Girdi!$A$2:$A;Event_Girdi!$G$2:$G="Evet");15);"")</f>
      </c>
      <c r="B46">
        <f>IF($A46="";"";INDEX(Event_Girdi!$B:$B;MATCH($A46;Event_Girdi!$A:$A;0)))</f>
      </c>
      <c r="C46">
        <f>IF($A46="";"";INDEX(Event_Girdi!$E:$E;MATCH($A46;Event_Girdi!$A:$A;0)))</f>
      </c>
      <c r="D46">
        <f>IF($A46="";"";IF(Hafta_Ozet!$B2="";"";IF(AND(INDEX(Event_Girdi!$C:$C;MATCH($A46;Event_Girdi!$A:$A;0))&lt;=Hafta_Ozet!$C2;INDEX(Event_Girdi!$D:$D;MATCH($A46;Event_Girdi!$A:$A;0))&gt;=Hafta_Ozet!$B2);"ACTIVE";"")))</f>
      </c>
      <c r="E46">
        <f>IF($A46="";"";IF(Hafta_Ozet!$B3="";"";IF(AND(INDEX(Event_Girdi!$C:$C;MATCH($A46;Event_Girdi!$A:$A;0))&lt;=Hafta_Ozet!$C3;INDEX(Event_Girdi!$D:$D;MATCH($A46;Event_Girdi!$A:$A;0))&gt;=Hafta_Ozet!$B3);"ACTIVE";"")))</f>
      </c>
      <c r="F46">
        <f>IF($A46="";"";IF(Hafta_Ozet!$B4="";"";IF(AND(INDEX(Event_Girdi!$C:$C;MATCH($A46;Event_Girdi!$A:$A;0))&lt;=Hafta_Ozet!$C4;INDEX(Event_Girdi!$D:$D;MATCH($A46;Event_Girdi!$A:$A;0))&gt;=Hafta_Ozet!$B4);"ACTIVE";"")))</f>
      </c>
      <c r="G46">
        <f>IF($A46="";"";IF(Hafta_Ozet!$B5="";"";IF(AND(INDEX(Event_Girdi!$C:$C;MATCH($A46;Event_Girdi!$A:$A;0))&lt;=Hafta_Ozet!$C5;INDEX(Event_Girdi!$D:$D;MATCH($A46;Event_Girdi!$A:$A;0))&gt;=Hafta_Ozet!$B5);"ACTIVE";"")))</f>
      </c>
      <c r="H46">
        <f>IF($A46="";"";IF(Hafta_Ozet!$B6="";"";IF(AND(INDEX(Event_Girdi!$C:$C;MATCH($A46;Event_Girdi!$A:$A;0))&lt;=Hafta_Ozet!$C6;INDEX(Event_Girdi!$D:$D;MATCH($A46;Event_Girdi!$A:$A;0))&gt;=Hafta_Ozet!$B6);"ACTIVE";"")))</f>
      </c>
      <c r="I46">
        <f>IF($A46="";"";IF(Hafta_Ozet!$B7="";"";IF(AND(INDEX(Event_Girdi!$C:$C;MATCH($A46;Event_Girdi!$A:$A;0))&lt;=Hafta_Ozet!$C7;INDEX(Event_Girdi!$D:$D;MATCH($A46;Event_Girdi!$A:$A;0))&gt;=Hafta_Ozet!$B7);"ACTIVE";"")))</f>
      </c>
      <c r="J46">
        <f>IF($A46="";"";IF(Hafta_Ozet!$B8="";"";IF(AND(INDEX(Event_Girdi!$C:$C;MATCH($A46;Event_Girdi!$A:$A;0))&lt;=Hafta_Ozet!$C8;INDEX(Event_Girdi!$D:$D;MATCH($A46;Event_Girdi!$A:$A;0))&gt;=Hafta_Ozet!$B8);"ACTIVE";"")))</f>
      </c>
      <c r="K46">
        <f>IF($A46="";"";IF(Hafta_Ozet!$B9="";"";IF(AND(INDEX(Event_Girdi!$C:$C;MATCH($A46;Event_Girdi!$A:$A;0))&lt;=Hafta_Ozet!$C9;INDEX(Event_Girdi!$D:$D;MATCH($A46;Event_Girdi!$A:$A;0))&gt;=Hafta_Ozet!$B9);"ACTIVE";"")))</f>
      </c>
      <c r="L46">
        <f>IF($A46="";"";IF(Hafta_Ozet!$B10="";"";IF(AND(INDEX(Event_Girdi!$C:$C;MATCH($A46;Event_Girdi!$A:$A;0))&lt;=Hafta_Ozet!$C10;INDEX(Event_Girdi!$D:$D;MATCH($A46;Event_Girdi!$A:$A;0))&gt;=Hafta_Ozet!$B10);"ACTIVE";"")))</f>
      </c>
      <c r="M46">
        <f>IF($A46="";"";IF(Hafta_Ozet!$B11="";"";IF(AND(INDEX(Event_Girdi!$C:$C;MATCH($A46;Event_Girdi!$A:$A;0))&lt;=Hafta_Ozet!$C11;INDEX(Event_Girdi!$D:$D;MATCH($A46;Event_Girdi!$A:$A;0))&gt;=Hafta_Ozet!$B11);"ACTIVE";"")))</f>
      </c>
      <c r="N46">
        <f>IF($A46="";"";IF(Hafta_Ozet!$B12="";"";IF(AND(INDEX(Event_Girdi!$C:$C;MATCH($A46;Event_Girdi!$A:$A;0))&lt;=Hafta_Ozet!$C12;INDEX(Event_Girdi!$D:$D;MATCH($A46;Event_Girdi!$A:$A;0))&gt;=Hafta_Ozet!$B12);"ACTIVE";"")))</f>
      </c>
      <c r="O46">
        <f>IF($A46="";"";IF(Hafta_Ozet!$B13="";"";IF(AND(INDEX(Event_Girdi!$C:$C;MATCH($A46;Event_Girdi!$A:$A;0))&lt;=Hafta_Ozet!$C13;INDEX(Event_Girdi!$D:$D;MATCH($A46;Event_Girdi!$A:$A;0))&gt;=Hafta_Ozet!$B13);"ACTIVE";"")))</f>
      </c>
      <c r="P46">
        <f>IF($A46="";"";IF(Hafta_Ozet!$B14="";"";IF(AND(INDEX(Event_Girdi!$C:$C;MATCH($A46;Event_Girdi!$A:$A;0))&lt;=Hafta_Ozet!$C14;INDEX(Event_Girdi!$D:$D;MATCH($A46;Event_Girdi!$A:$A;0))&gt;=Hafta_Ozet!$B14);"ACTIVE";"")))</f>
      </c>
      <c r="Q46">
        <f>IF($A46="";"";IF(Hafta_Ozet!$B15="";"";IF(AND(INDEX(Event_Girdi!$C:$C;MATCH($A46;Event_Girdi!$A:$A;0))&lt;=Hafta_Ozet!$C15;INDEX(Event_Girdi!$D:$D;MATCH($A46;Event_Girdi!$A:$A;0))&gt;=Hafta_Ozet!$B15);"ACTIVE";"")))</f>
      </c>
      <c r="R46">
        <f>IF($A46="";"";IF(Hafta_Ozet!$B16="";"";IF(AND(INDEX(Event_Girdi!$C:$C;MATCH($A46;Event_Girdi!$A:$A;0))&lt;=Hafta_Ozet!$C16;INDEX(Event_Girdi!$D:$D;MATCH($A46;Event_Girdi!$A:$A;0))&gt;=Hafta_Ozet!$B16);"ACTIVE";"")))</f>
      </c>
      <c r="S46">
        <f>IF($A46="";"";IF(Hafta_Ozet!$B17="";"";IF(AND(INDEX(Event_Girdi!$C:$C;MATCH($A46;Event_Girdi!$A:$A;0))&lt;=Hafta_Ozet!$C17;INDEX(Event_Girdi!$D:$D;MATCH($A46;Event_Girdi!$A:$A;0))&gt;=Hafta_Ozet!$B17);"ACTIVE";"")))</f>
      </c>
      <c r="T46">
        <f>IF($A46="";"";IF(Hafta_Ozet!$B18="";"";IF(AND(INDEX(Event_Girdi!$C:$C;MATCH($A46;Event_Girdi!$A:$A;0))&lt;=Hafta_Ozet!$C18;INDEX(Event_Girdi!$D:$D;MATCH($A46;Event_Girdi!$A:$A;0))&gt;=Hafta_Ozet!$B18);"ACTIVE";"")))</f>
      </c>
      <c r="U46">
        <f>IF($A46="";"";IF(Hafta_Ozet!$B19="";"";IF(AND(INDEX(Event_Girdi!$C:$C;MATCH($A46;Event_Girdi!$A:$A;0))&lt;=Hafta_Ozet!$C19;INDEX(Event_Girdi!$D:$D;MATCH($A46;Event_Girdi!$A:$A;0))&gt;=Hafta_Ozet!$B19);"ACTIVE";"")))</f>
      </c>
      <c r="V46">
        <f>IF($A46="";"";IF(Hafta_Ozet!$B20="";"";IF(AND(INDEX(Event_Girdi!$C:$C;MATCH($A46;Event_Girdi!$A:$A;0))&lt;=Hafta_Ozet!$C20;INDEX(Event_Girdi!$D:$D;MATCH($A46;Event_Girdi!$A:$A;0))&gt;=Hafta_Ozet!$B20);"ACTIVE";"")))</f>
      </c>
      <c r="W46">
        <f>IF($A46="";"";IF(Hafta_Ozet!$B21="";"";IF(AND(INDEX(Event_Girdi!$C:$C;MATCH($A46;Event_Girdi!$A:$A;0))&lt;=Hafta_Ozet!$C21;INDEX(Event_Girdi!$D:$D;MATCH($A46;Event_Girdi!$A:$A;0))&gt;=Hafta_Ozet!$B21);"ACTIVE";"")))</f>
      </c>
    </row>
    <row r="47">
      <c r="A47">
        <f>IFERROR(INDEX(FILTER(Event_Girdi!$A$2:$A;Event_Girdi!$G$2:$G="Evet");16);"")</f>
      </c>
      <c r="B47">
        <f>IF($A47="";"";INDEX(Event_Girdi!$B:$B;MATCH($A47;Event_Girdi!$A:$A;0)))</f>
      </c>
      <c r="C47">
        <f>IF($A47="";"";INDEX(Event_Girdi!$E:$E;MATCH($A47;Event_Girdi!$A:$A;0)))</f>
      </c>
      <c r="D47">
        <f>IF($A47="";"";IF(Hafta_Ozet!$B2="";"";IF(AND(INDEX(Event_Girdi!$C:$C;MATCH($A47;Event_Girdi!$A:$A;0))&lt;=Hafta_Ozet!$C2;INDEX(Event_Girdi!$D:$D;MATCH($A47;Event_Girdi!$A:$A;0))&gt;=Hafta_Ozet!$B2);"ACTIVE";"")))</f>
      </c>
      <c r="E47">
        <f>IF($A47="";"";IF(Hafta_Ozet!$B3="";"";IF(AND(INDEX(Event_Girdi!$C:$C;MATCH($A47;Event_Girdi!$A:$A;0))&lt;=Hafta_Ozet!$C3;INDEX(Event_Girdi!$D:$D;MATCH($A47;Event_Girdi!$A:$A;0))&gt;=Hafta_Ozet!$B3);"ACTIVE";"")))</f>
      </c>
      <c r="F47">
        <f>IF($A47="";"";IF(Hafta_Ozet!$B4="";"";IF(AND(INDEX(Event_Girdi!$C:$C;MATCH($A47;Event_Girdi!$A:$A;0))&lt;=Hafta_Ozet!$C4;INDEX(Event_Girdi!$D:$D;MATCH($A47;Event_Girdi!$A:$A;0))&gt;=Hafta_Ozet!$B4);"ACTIVE";"")))</f>
      </c>
      <c r="G47">
        <f>IF($A47="";"";IF(Hafta_Ozet!$B5="";"";IF(AND(INDEX(Event_Girdi!$C:$C;MATCH($A47;Event_Girdi!$A:$A;0))&lt;=Hafta_Ozet!$C5;INDEX(Event_Girdi!$D:$D;MATCH($A47;Event_Girdi!$A:$A;0))&gt;=Hafta_Ozet!$B5);"ACTIVE";"")))</f>
      </c>
      <c r="H47">
        <f>IF($A47="";"";IF(Hafta_Ozet!$B6="";"";IF(AND(INDEX(Event_Girdi!$C:$C;MATCH($A47;Event_Girdi!$A:$A;0))&lt;=Hafta_Ozet!$C6;INDEX(Event_Girdi!$D:$D;MATCH($A47;Event_Girdi!$A:$A;0))&gt;=Hafta_Ozet!$B6);"ACTIVE";"")))</f>
      </c>
      <c r="I47">
        <f>IF($A47="";"";IF(Hafta_Ozet!$B7="";"";IF(AND(INDEX(Event_Girdi!$C:$C;MATCH($A47;Event_Girdi!$A:$A;0))&lt;=Hafta_Ozet!$C7;INDEX(Event_Girdi!$D:$D;MATCH($A47;Event_Girdi!$A:$A;0))&gt;=Hafta_Ozet!$B7);"ACTIVE";"")))</f>
      </c>
      <c r="J47">
        <f>IF($A47="";"";IF(Hafta_Ozet!$B8="";"";IF(AND(INDEX(Event_Girdi!$C:$C;MATCH($A47;Event_Girdi!$A:$A;0))&lt;=Hafta_Ozet!$C8;INDEX(Event_Girdi!$D:$D;MATCH($A47;Event_Girdi!$A:$A;0))&gt;=Hafta_Ozet!$B8);"ACTIVE";"")))</f>
      </c>
      <c r="K47">
        <f>IF($A47="";"";IF(Hafta_Ozet!$B9="";"";IF(AND(INDEX(Event_Girdi!$C:$C;MATCH($A47;Event_Girdi!$A:$A;0))&lt;=Hafta_Ozet!$C9;INDEX(Event_Girdi!$D:$D;MATCH($A47;Event_Girdi!$A:$A;0))&gt;=Hafta_Ozet!$B9);"ACTIVE";"")))</f>
      </c>
      <c r="L47">
        <f>IF($A47="";"";IF(Hafta_Ozet!$B10="";"";IF(AND(INDEX(Event_Girdi!$C:$C;MATCH($A47;Event_Girdi!$A:$A;0))&lt;=Hafta_Ozet!$C10;INDEX(Event_Girdi!$D:$D;MATCH($A47;Event_Girdi!$A:$A;0))&gt;=Hafta_Ozet!$B10);"ACTIVE";"")))</f>
      </c>
      <c r="M47">
        <f>IF($A47="";"";IF(Hafta_Ozet!$B11="";"";IF(AND(INDEX(Event_Girdi!$C:$C;MATCH($A47;Event_Girdi!$A:$A;0))&lt;=Hafta_Ozet!$C11;INDEX(Event_Girdi!$D:$D;MATCH($A47;Event_Girdi!$A:$A;0))&gt;=Hafta_Ozet!$B11);"ACTIVE";"")))</f>
      </c>
      <c r="N47">
        <f>IF($A47="";"";IF(Hafta_Ozet!$B12="";"";IF(AND(INDEX(Event_Girdi!$C:$C;MATCH($A47;Event_Girdi!$A:$A;0))&lt;=Hafta_Ozet!$C12;INDEX(Event_Girdi!$D:$D;MATCH($A47;Event_Girdi!$A:$A;0))&gt;=Hafta_Ozet!$B12);"ACTIVE";"")))</f>
      </c>
      <c r="O47">
        <f>IF($A47="";"";IF(Hafta_Ozet!$B13="";"";IF(AND(INDEX(Event_Girdi!$C:$C;MATCH($A47;Event_Girdi!$A:$A;0))&lt;=Hafta_Ozet!$C13;INDEX(Event_Girdi!$D:$D;MATCH($A47;Event_Girdi!$A:$A;0))&gt;=Hafta_Ozet!$B13);"ACTIVE";"")))</f>
      </c>
      <c r="P47">
        <f>IF($A47="";"";IF(Hafta_Ozet!$B14="";"";IF(AND(INDEX(Event_Girdi!$C:$C;MATCH($A47;Event_Girdi!$A:$A;0))&lt;=Hafta_Ozet!$C14;INDEX(Event_Girdi!$D:$D;MATCH($A47;Event_Girdi!$A:$A;0))&gt;=Hafta_Ozet!$B14);"ACTIVE";"")))</f>
      </c>
      <c r="Q47">
        <f>IF($A47="";"";IF(Hafta_Ozet!$B15="";"";IF(AND(INDEX(Event_Girdi!$C:$C;MATCH($A47;Event_Girdi!$A:$A;0))&lt;=Hafta_Ozet!$C15;INDEX(Event_Girdi!$D:$D;MATCH($A47;Event_Girdi!$A:$A;0))&gt;=Hafta_Ozet!$B15);"ACTIVE";"")))</f>
      </c>
      <c r="R47">
        <f>IF($A47="";"";IF(Hafta_Ozet!$B16="";"";IF(AND(INDEX(Event_Girdi!$C:$C;MATCH($A47;Event_Girdi!$A:$A;0))&lt;=Hafta_Ozet!$C16;INDEX(Event_Girdi!$D:$D;MATCH($A47;Event_Girdi!$A:$A;0))&gt;=Hafta_Ozet!$B16);"ACTIVE";"")))</f>
      </c>
      <c r="S47">
        <f>IF($A47="";"";IF(Hafta_Ozet!$B17="";"";IF(AND(INDEX(Event_Girdi!$C:$C;MATCH($A47;Event_Girdi!$A:$A;0))&lt;=Hafta_Ozet!$C17;INDEX(Event_Girdi!$D:$D;MATCH($A47;Event_Girdi!$A:$A;0))&gt;=Hafta_Ozet!$B17);"ACTIVE";"")))</f>
      </c>
      <c r="T47">
        <f>IF($A47="";"";IF(Hafta_Ozet!$B18="";"";IF(AND(INDEX(Event_Girdi!$C:$C;MATCH($A47;Event_Girdi!$A:$A;0))&lt;=Hafta_Ozet!$C18;INDEX(Event_Girdi!$D:$D;MATCH($A47;Event_Girdi!$A:$A;0))&gt;=Hafta_Ozet!$B18);"ACTIVE";"")))</f>
      </c>
      <c r="U47">
        <f>IF($A47="";"";IF(Hafta_Ozet!$B19="";"";IF(AND(INDEX(Event_Girdi!$C:$C;MATCH($A47;Event_Girdi!$A:$A;0))&lt;=Hafta_Ozet!$C19;INDEX(Event_Girdi!$D:$D;MATCH($A47;Event_Girdi!$A:$A;0))&gt;=Hafta_Ozet!$B19);"ACTIVE";"")))</f>
      </c>
      <c r="V47">
        <f>IF($A47="";"";IF(Hafta_Ozet!$B20="";"";IF(AND(INDEX(Event_Girdi!$C:$C;MATCH($A47;Event_Girdi!$A:$A;0))&lt;=Hafta_Ozet!$C20;INDEX(Event_Girdi!$D:$D;MATCH($A47;Event_Girdi!$A:$A;0))&gt;=Hafta_Ozet!$B20);"ACTIVE";"")))</f>
      </c>
      <c r="W47">
        <f>IF($A47="";"";IF(Hafta_Ozet!$B21="";"";IF(AND(INDEX(Event_Girdi!$C:$C;MATCH($A47;Event_Girdi!$A:$A;0))&lt;=Hafta_Ozet!$C21;INDEX(Event_Girdi!$D:$D;MATCH($A47;Event_Girdi!$A:$A;0))&gt;=Hafta_Ozet!$B21);"ACTIVE";"")))</f>
      </c>
    </row>
    <row r="48">
      <c r="A48">
        <f>IFERROR(INDEX(FILTER(Event_Girdi!$A$2:$A;Event_Girdi!$G$2:$G="Evet");17);"")</f>
      </c>
      <c r="B48">
        <f>IF($A48="";"";INDEX(Event_Girdi!$B:$B;MATCH($A48;Event_Girdi!$A:$A;0)))</f>
      </c>
      <c r="C48">
        <f>IF($A48="";"";INDEX(Event_Girdi!$E:$E;MATCH($A48;Event_Girdi!$A:$A;0)))</f>
      </c>
      <c r="D48">
        <f>IF($A48="";"";IF(Hafta_Ozet!$B2="";"";IF(AND(INDEX(Event_Girdi!$C:$C;MATCH($A48;Event_Girdi!$A:$A;0))&lt;=Hafta_Ozet!$C2;INDEX(Event_Girdi!$D:$D;MATCH($A48;Event_Girdi!$A:$A;0))&gt;=Hafta_Ozet!$B2);"ACTIVE";"")))</f>
      </c>
      <c r="E48">
        <f>IF($A48="";"";IF(Hafta_Ozet!$B3="";"";IF(AND(INDEX(Event_Girdi!$C:$C;MATCH($A48;Event_Girdi!$A:$A;0))&lt;=Hafta_Ozet!$C3;INDEX(Event_Girdi!$D:$D;MATCH($A48;Event_Girdi!$A:$A;0))&gt;=Hafta_Ozet!$B3);"ACTIVE";"")))</f>
      </c>
      <c r="F48">
        <f>IF($A48="";"";IF(Hafta_Ozet!$B4="";"";IF(AND(INDEX(Event_Girdi!$C:$C;MATCH($A48;Event_Girdi!$A:$A;0))&lt;=Hafta_Ozet!$C4;INDEX(Event_Girdi!$D:$D;MATCH($A48;Event_Girdi!$A:$A;0))&gt;=Hafta_Ozet!$B4);"ACTIVE";"")))</f>
      </c>
      <c r="G48">
        <f>IF($A48="";"";IF(Hafta_Ozet!$B5="";"";IF(AND(INDEX(Event_Girdi!$C:$C;MATCH($A48;Event_Girdi!$A:$A;0))&lt;=Hafta_Ozet!$C5;INDEX(Event_Girdi!$D:$D;MATCH($A48;Event_Girdi!$A:$A;0))&gt;=Hafta_Ozet!$B5);"ACTIVE";"")))</f>
      </c>
      <c r="H48">
        <f>IF($A48="";"";IF(Hafta_Ozet!$B6="";"";IF(AND(INDEX(Event_Girdi!$C:$C;MATCH($A48;Event_Girdi!$A:$A;0))&lt;=Hafta_Ozet!$C6;INDEX(Event_Girdi!$D:$D;MATCH($A48;Event_Girdi!$A:$A;0))&gt;=Hafta_Ozet!$B6);"ACTIVE";"")))</f>
      </c>
      <c r="I48">
        <f>IF($A48="";"";IF(Hafta_Ozet!$B7="";"";IF(AND(INDEX(Event_Girdi!$C:$C;MATCH($A48;Event_Girdi!$A:$A;0))&lt;=Hafta_Ozet!$C7;INDEX(Event_Girdi!$D:$D;MATCH($A48;Event_Girdi!$A:$A;0))&gt;=Hafta_Ozet!$B7);"ACTIVE";"")))</f>
      </c>
      <c r="J48">
        <f>IF($A48="";"";IF(Hafta_Ozet!$B8="";"";IF(AND(INDEX(Event_Girdi!$C:$C;MATCH($A48;Event_Girdi!$A:$A;0))&lt;=Hafta_Ozet!$C8;INDEX(Event_Girdi!$D:$D;MATCH($A48;Event_Girdi!$A:$A;0))&gt;=Hafta_Ozet!$B8);"ACTIVE";"")))</f>
      </c>
      <c r="K48">
        <f>IF($A48="";"";IF(Hafta_Ozet!$B9="";"";IF(AND(INDEX(Event_Girdi!$C:$C;MATCH($A48;Event_Girdi!$A:$A;0))&lt;=Hafta_Ozet!$C9;INDEX(Event_Girdi!$D:$D;MATCH($A48;Event_Girdi!$A:$A;0))&gt;=Hafta_Ozet!$B9);"ACTIVE";"")))</f>
      </c>
      <c r="L48">
        <f>IF($A48="";"";IF(Hafta_Ozet!$B10="";"";IF(AND(INDEX(Event_Girdi!$C:$C;MATCH($A48;Event_Girdi!$A:$A;0))&lt;=Hafta_Ozet!$C10;INDEX(Event_Girdi!$D:$D;MATCH($A48;Event_Girdi!$A:$A;0))&gt;=Hafta_Ozet!$B10);"ACTIVE";"")))</f>
      </c>
      <c r="M48">
        <f>IF($A48="";"";IF(Hafta_Ozet!$B11="";"";IF(AND(INDEX(Event_Girdi!$C:$C;MATCH($A48;Event_Girdi!$A:$A;0))&lt;=Hafta_Ozet!$C11;INDEX(Event_Girdi!$D:$D;MATCH($A48;Event_Girdi!$A:$A;0))&gt;=Hafta_Ozet!$B11);"ACTIVE";"")))</f>
      </c>
      <c r="N48">
        <f>IF($A48="";"";IF(Hafta_Ozet!$B12="";"";IF(AND(INDEX(Event_Girdi!$C:$C;MATCH($A48;Event_Girdi!$A:$A;0))&lt;=Hafta_Ozet!$C12;INDEX(Event_Girdi!$D:$D;MATCH($A48;Event_Girdi!$A:$A;0))&gt;=Hafta_Ozet!$B12);"ACTIVE";"")))</f>
      </c>
      <c r="O48">
        <f>IF($A48="";"";IF(Hafta_Ozet!$B13="";"";IF(AND(INDEX(Event_Girdi!$C:$C;MATCH($A48;Event_Girdi!$A:$A;0))&lt;=Hafta_Ozet!$C13;INDEX(Event_Girdi!$D:$D;MATCH($A48;Event_Girdi!$A:$A;0))&gt;=Hafta_Ozet!$B13);"ACTIVE";"")))</f>
      </c>
      <c r="P48">
        <f>IF($A48="";"";IF(Hafta_Ozet!$B14="";"";IF(AND(INDEX(Event_Girdi!$C:$C;MATCH($A48;Event_Girdi!$A:$A;0))&lt;=Hafta_Ozet!$C14;INDEX(Event_Girdi!$D:$D;MATCH($A48;Event_Girdi!$A:$A;0))&gt;=Hafta_Ozet!$B14);"ACTIVE";"")))</f>
      </c>
      <c r="Q48">
        <f>IF($A48="";"";IF(Hafta_Ozet!$B15="";"";IF(AND(INDEX(Event_Girdi!$C:$C;MATCH($A48;Event_Girdi!$A:$A;0))&lt;=Hafta_Ozet!$C15;INDEX(Event_Girdi!$D:$D;MATCH($A48;Event_Girdi!$A:$A;0))&gt;=Hafta_Ozet!$B15);"ACTIVE";"")))</f>
      </c>
      <c r="R48">
        <f>IF($A48="";"";IF(Hafta_Ozet!$B16="";"";IF(AND(INDEX(Event_Girdi!$C:$C;MATCH($A48;Event_Girdi!$A:$A;0))&lt;=Hafta_Ozet!$C16;INDEX(Event_Girdi!$D:$D;MATCH($A48;Event_Girdi!$A:$A;0))&gt;=Hafta_Ozet!$B16);"ACTIVE";"")))</f>
      </c>
      <c r="S48">
        <f>IF($A48="";"";IF(Hafta_Ozet!$B17="";"";IF(AND(INDEX(Event_Girdi!$C:$C;MATCH($A48;Event_Girdi!$A:$A;0))&lt;=Hafta_Ozet!$C17;INDEX(Event_Girdi!$D:$D;MATCH($A48;Event_Girdi!$A:$A;0))&gt;=Hafta_Ozet!$B17);"ACTIVE";"")))</f>
      </c>
      <c r="T48">
        <f>IF($A48="";"";IF(Hafta_Ozet!$B18="";"";IF(AND(INDEX(Event_Girdi!$C:$C;MATCH($A48;Event_Girdi!$A:$A;0))&lt;=Hafta_Ozet!$C18;INDEX(Event_Girdi!$D:$D;MATCH($A48;Event_Girdi!$A:$A;0))&gt;=Hafta_Ozet!$B18);"ACTIVE";"")))</f>
      </c>
      <c r="U48">
        <f>IF($A48="";"";IF(Hafta_Ozet!$B19="";"";IF(AND(INDEX(Event_Girdi!$C:$C;MATCH($A48;Event_Girdi!$A:$A;0))&lt;=Hafta_Ozet!$C19;INDEX(Event_Girdi!$D:$D;MATCH($A48;Event_Girdi!$A:$A;0))&gt;=Hafta_Ozet!$B19);"ACTIVE";"")))</f>
      </c>
      <c r="V48">
        <f>IF($A48="";"";IF(Hafta_Ozet!$B20="";"";IF(AND(INDEX(Event_Girdi!$C:$C;MATCH($A48;Event_Girdi!$A:$A;0))&lt;=Hafta_Ozet!$C20;INDEX(Event_Girdi!$D:$D;MATCH($A48;Event_Girdi!$A:$A;0))&gt;=Hafta_Ozet!$B20);"ACTIVE";"")))</f>
      </c>
      <c r="W48">
        <f>IF($A48="";"";IF(Hafta_Ozet!$B21="";"";IF(AND(INDEX(Event_Girdi!$C:$C;MATCH($A48;Event_Girdi!$A:$A;0))&lt;=Hafta_Ozet!$C21;INDEX(Event_Girdi!$D:$D;MATCH($A48;Event_Girdi!$A:$A;0))&gt;=Hafta_Ozet!$B21);"ACTIVE";"")))</f>
      </c>
    </row>
    <row r="49">
      <c r="A49">
        <f>IFERROR(INDEX(FILTER(Event_Girdi!$A$2:$A;Event_Girdi!$G$2:$G="Evet");18);"")</f>
      </c>
      <c r="B49">
        <f>IF($A49="";"";INDEX(Event_Girdi!$B:$B;MATCH($A49;Event_Girdi!$A:$A;0)))</f>
      </c>
      <c r="C49">
        <f>IF($A49="";"";INDEX(Event_Girdi!$E:$E;MATCH($A49;Event_Girdi!$A:$A;0)))</f>
      </c>
      <c r="D49">
        <f>IF($A49="";"";IF(Hafta_Ozet!$B2="";"";IF(AND(INDEX(Event_Girdi!$C:$C;MATCH($A49;Event_Girdi!$A:$A;0))&lt;=Hafta_Ozet!$C2;INDEX(Event_Girdi!$D:$D;MATCH($A49;Event_Girdi!$A:$A;0))&gt;=Hafta_Ozet!$B2);"ACTIVE";"")))</f>
      </c>
      <c r="E49">
        <f>IF($A49="";"";IF(Hafta_Ozet!$B3="";"";IF(AND(INDEX(Event_Girdi!$C:$C;MATCH($A49;Event_Girdi!$A:$A;0))&lt;=Hafta_Ozet!$C3;INDEX(Event_Girdi!$D:$D;MATCH($A49;Event_Girdi!$A:$A;0))&gt;=Hafta_Ozet!$B3);"ACTIVE";"")))</f>
      </c>
      <c r="F49">
        <f>IF($A49="";"";IF(Hafta_Ozet!$B4="";"";IF(AND(INDEX(Event_Girdi!$C:$C;MATCH($A49;Event_Girdi!$A:$A;0))&lt;=Hafta_Ozet!$C4;INDEX(Event_Girdi!$D:$D;MATCH($A49;Event_Girdi!$A:$A;0))&gt;=Hafta_Ozet!$B4);"ACTIVE";"")))</f>
      </c>
      <c r="G49">
        <f>IF($A49="";"";IF(Hafta_Ozet!$B5="";"";IF(AND(INDEX(Event_Girdi!$C:$C;MATCH($A49;Event_Girdi!$A:$A;0))&lt;=Hafta_Ozet!$C5;INDEX(Event_Girdi!$D:$D;MATCH($A49;Event_Girdi!$A:$A;0))&gt;=Hafta_Ozet!$B5);"ACTIVE";"")))</f>
      </c>
      <c r="H49">
        <f>IF($A49="";"";IF(Hafta_Ozet!$B6="";"";IF(AND(INDEX(Event_Girdi!$C:$C;MATCH($A49;Event_Girdi!$A:$A;0))&lt;=Hafta_Ozet!$C6;INDEX(Event_Girdi!$D:$D;MATCH($A49;Event_Girdi!$A:$A;0))&gt;=Hafta_Ozet!$B6);"ACTIVE";"")))</f>
      </c>
      <c r="I49">
        <f>IF($A49="";"";IF(Hafta_Ozet!$B7="";"";IF(AND(INDEX(Event_Girdi!$C:$C;MATCH($A49;Event_Girdi!$A:$A;0))&lt;=Hafta_Ozet!$C7;INDEX(Event_Girdi!$D:$D;MATCH($A49;Event_Girdi!$A:$A;0))&gt;=Hafta_Ozet!$B7);"ACTIVE";"")))</f>
      </c>
      <c r="J49">
        <f>IF($A49="";"";IF(Hafta_Ozet!$B8="";"";IF(AND(INDEX(Event_Girdi!$C:$C;MATCH($A49;Event_Girdi!$A:$A;0))&lt;=Hafta_Ozet!$C8;INDEX(Event_Girdi!$D:$D;MATCH($A49;Event_Girdi!$A:$A;0))&gt;=Hafta_Ozet!$B8);"ACTIVE";"")))</f>
      </c>
      <c r="K49">
        <f>IF($A49="";"";IF(Hafta_Ozet!$B9="";"";IF(AND(INDEX(Event_Girdi!$C:$C;MATCH($A49;Event_Girdi!$A:$A;0))&lt;=Hafta_Ozet!$C9;INDEX(Event_Girdi!$D:$D;MATCH($A49;Event_Girdi!$A:$A;0))&gt;=Hafta_Ozet!$B9);"ACTIVE";"")))</f>
      </c>
      <c r="L49">
        <f>IF($A49="";"";IF(Hafta_Ozet!$B10="";"";IF(AND(INDEX(Event_Girdi!$C:$C;MATCH($A49;Event_Girdi!$A:$A;0))&lt;=Hafta_Ozet!$C10;INDEX(Event_Girdi!$D:$D;MATCH($A49;Event_Girdi!$A:$A;0))&gt;=Hafta_Ozet!$B10);"ACTIVE";"")))</f>
      </c>
      <c r="M49">
        <f>IF($A49="";"";IF(Hafta_Ozet!$B11="";"";IF(AND(INDEX(Event_Girdi!$C:$C;MATCH($A49;Event_Girdi!$A:$A;0))&lt;=Hafta_Ozet!$C11;INDEX(Event_Girdi!$D:$D;MATCH($A49;Event_Girdi!$A:$A;0))&gt;=Hafta_Ozet!$B11);"ACTIVE";"")))</f>
      </c>
      <c r="N49">
        <f>IF($A49="";"";IF(Hafta_Ozet!$B12="";"";IF(AND(INDEX(Event_Girdi!$C:$C;MATCH($A49;Event_Girdi!$A:$A;0))&lt;=Hafta_Ozet!$C12;INDEX(Event_Girdi!$D:$D;MATCH($A49;Event_Girdi!$A:$A;0))&gt;=Hafta_Ozet!$B12);"ACTIVE";"")))</f>
      </c>
      <c r="O49">
        <f>IF($A49="";"";IF(Hafta_Ozet!$B13="";"";IF(AND(INDEX(Event_Girdi!$C:$C;MATCH($A49;Event_Girdi!$A:$A;0))&lt;=Hafta_Ozet!$C13;INDEX(Event_Girdi!$D:$D;MATCH($A49;Event_Girdi!$A:$A;0))&gt;=Hafta_Ozet!$B13);"ACTIVE";"")))</f>
      </c>
      <c r="P49">
        <f>IF($A49="";"";IF(Hafta_Ozet!$B14="";"";IF(AND(INDEX(Event_Girdi!$C:$C;MATCH($A49;Event_Girdi!$A:$A;0))&lt;=Hafta_Ozet!$C14;INDEX(Event_Girdi!$D:$D;MATCH($A49;Event_Girdi!$A:$A;0))&gt;=Hafta_Ozet!$B14);"ACTIVE";"")))</f>
      </c>
      <c r="Q49">
        <f>IF($A49="";"";IF(Hafta_Ozet!$B15="";"";IF(AND(INDEX(Event_Girdi!$C:$C;MATCH($A49;Event_Girdi!$A:$A;0))&lt;=Hafta_Ozet!$C15;INDEX(Event_Girdi!$D:$D;MATCH($A49;Event_Girdi!$A:$A;0))&gt;=Hafta_Ozet!$B15);"ACTIVE";"")))</f>
      </c>
      <c r="R49">
        <f>IF($A49="";"";IF(Hafta_Ozet!$B16="";"";IF(AND(INDEX(Event_Girdi!$C:$C;MATCH($A49;Event_Girdi!$A:$A;0))&lt;=Hafta_Ozet!$C16;INDEX(Event_Girdi!$D:$D;MATCH($A49;Event_Girdi!$A:$A;0))&gt;=Hafta_Ozet!$B16);"ACTIVE";"")))</f>
      </c>
      <c r="S49">
        <f>IF($A49="";"";IF(Hafta_Ozet!$B17="";"";IF(AND(INDEX(Event_Girdi!$C:$C;MATCH($A49;Event_Girdi!$A:$A;0))&lt;=Hafta_Ozet!$C17;INDEX(Event_Girdi!$D:$D;MATCH($A49;Event_Girdi!$A:$A;0))&gt;=Hafta_Ozet!$B17);"ACTIVE";"")))</f>
      </c>
      <c r="T49">
        <f>IF($A49="";"";IF(Hafta_Ozet!$B18="";"";IF(AND(INDEX(Event_Girdi!$C:$C;MATCH($A49;Event_Girdi!$A:$A;0))&lt;=Hafta_Ozet!$C18;INDEX(Event_Girdi!$D:$D;MATCH($A49;Event_Girdi!$A:$A;0))&gt;=Hafta_Ozet!$B18);"ACTIVE";"")))</f>
      </c>
      <c r="U49">
        <f>IF($A49="";"";IF(Hafta_Ozet!$B19="";"";IF(AND(INDEX(Event_Girdi!$C:$C;MATCH($A49;Event_Girdi!$A:$A;0))&lt;=Hafta_Ozet!$C19;INDEX(Event_Girdi!$D:$D;MATCH($A49;Event_Girdi!$A:$A;0))&gt;=Hafta_Ozet!$B19);"ACTIVE";"")))</f>
      </c>
      <c r="V49">
        <f>IF($A49="";"";IF(Hafta_Ozet!$B20="";"";IF(AND(INDEX(Event_Girdi!$C:$C;MATCH($A49;Event_Girdi!$A:$A;0))&lt;=Hafta_Ozet!$C20;INDEX(Event_Girdi!$D:$D;MATCH($A49;Event_Girdi!$A:$A;0))&gt;=Hafta_Ozet!$B20);"ACTIVE";"")))</f>
      </c>
      <c r="W49">
        <f>IF($A49="";"";IF(Hafta_Ozet!$B21="";"";IF(AND(INDEX(Event_Girdi!$C:$C;MATCH($A49;Event_Girdi!$A:$A;0))&lt;=Hafta_Ozet!$C21;INDEX(Event_Girdi!$D:$D;MATCH($A49;Event_Girdi!$A:$A;0))&gt;=Hafta_Ozet!$B21);"ACTIVE";"")))</f>
      </c>
    </row>
    <row r="50">
      <c r="A50">
        <f>IFERROR(INDEX(FILTER(Event_Girdi!$A$2:$A;Event_Girdi!$G$2:$G="Evet");19);"")</f>
      </c>
      <c r="B50">
        <f>IF($A50="";"";INDEX(Event_Girdi!$B:$B;MATCH($A50;Event_Girdi!$A:$A;0)))</f>
      </c>
      <c r="C50">
        <f>IF($A50="";"";INDEX(Event_Girdi!$E:$E;MATCH($A50;Event_Girdi!$A:$A;0)))</f>
      </c>
      <c r="D50">
        <f>IF($A50="";"";IF(Hafta_Ozet!$B2="";"";IF(AND(INDEX(Event_Girdi!$C:$C;MATCH($A50;Event_Girdi!$A:$A;0))&lt;=Hafta_Ozet!$C2;INDEX(Event_Girdi!$D:$D;MATCH($A50;Event_Girdi!$A:$A;0))&gt;=Hafta_Ozet!$B2);"ACTIVE";"")))</f>
      </c>
      <c r="E50">
        <f>IF($A50="";"";IF(Hafta_Ozet!$B3="";"";IF(AND(INDEX(Event_Girdi!$C:$C;MATCH($A50;Event_Girdi!$A:$A;0))&lt;=Hafta_Ozet!$C3;INDEX(Event_Girdi!$D:$D;MATCH($A50;Event_Girdi!$A:$A;0))&gt;=Hafta_Ozet!$B3);"ACTIVE";"")))</f>
      </c>
      <c r="F50">
        <f>IF($A50="";"";IF(Hafta_Ozet!$B4="";"";IF(AND(INDEX(Event_Girdi!$C:$C;MATCH($A50;Event_Girdi!$A:$A;0))&lt;=Hafta_Ozet!$C4;INDEX(Event_Girdi!$D:$D;MATCH($A50;Event_Girdi!$A:$A;0))&gt;=Hafta_Ozet!$B4);"ACTIVE";"")))</f>
      </c>
      <c r="G50">
        <f>IF($A50="";"";IF(Hafta_Ozet!$B5="";"";IF(AND(INDEX(Event_Girdi!$C:$C;MATCH($A50;Event_Girdi!$A:$A;0))&lt;=Hafta_Ozet!$C5;INDEX(Event_Girdi!$D:$D;MATCH($A50;Event_Girdi!$A:$A;0))&gt;=Hafta_Ozet!$B5);"ACTIVE";"")))</f>
      </c>
      <c r="H50">
        <f>IF($A50="";"";IF(Hafta_Ozet!$B6="";"";IF(AND(INDEX(Event_Girdi!$C:$C;MATCH($A50;Event_Girdi!$A:$A;0))&lt;=Hafta_Ozet!$C6;INDEX(Event_Girdi!$D:$D;MATCH($A50;Event_Girdi!$A:$A;0))&gt;=Hafta_Ozet!$B6);"ACTIVE";"")))</f>
      </c>
      <c r="I50">
        <f>IF($A50="";"";IF(Hafta_Ozet!$B7="";"";IF(AND(INDEX(Event_Girdi!$C:$C;MATCH($A50;Event_Girdi!$A:$A;0))&lt;=Hafta_Ozet!$C7;INDEX(Event_Girdi!$D:$D;MATCH($A50;Event_Girdi!$A:$A;0))&gt;=Hafta_Ozet!$B7);"ACTIVE";"")))</f>
      </c>
      <c r="J50">
        <f>IF($A50="";"";IF(Hafta_Ozet!$B8="";"";IF(AND(INDEX(Event_Girdi!$C:$C;MATCH($A50;Event_Girdi!$A:$A;0))&lt;=Hafta_Ozet!$C8;INDEX(Event_Girdi!$D:$D;MATCH($A50;Event_Girdi!$A:$A;0))&gt;=Hafta_Ozet!$B8);"ACTIVE";"")))</f>
      </c>
      <c r="K50">
        <f>IF($A50="";"";IF(Hafta_Ozet!$B9="";"";IF(AND(INDEX(Event_Girdi!$C:$C;MATCH($A50;Event_Girdi!$A:$A;0))&lt;=Hafta_Ozet!$C9;INDEX(Event_Girdi!$D:$D;MATCH($A50;Event_Girdi!$A:$A;0))&gt;=Hafta_Ozet!$B9);"ACTIVE";"")))</f>
      </c>
      <c r="L50">
        <f>IF($A50="";"";IF(Hafta_Ozet!$B10="";"";IF(AND(INDEX(Event_Girdi!$C:$C;MATCH($A50;Event_Girdi!$A:$A;0))&lt;=Hafta_Ozet!$C10;INDEX(Event_Girdi!$D:$D;MATCH($A50;Event_Girdi!$A:$A;0))&gt;=Hafta_Ozet!$B10);"ACTIVE";"")))</f>
      </c>
      <c r="M50">
        <f>IF($A50="";"";IF(Hafta_Ozet!$B11="";"";IF(AND(INDEX(Event_Girdi!$C:$C;MATCH($A50;Event_Girdi!$A:$A;0))&lt;=Hafta_Ozet!$C11;INDEX(Event_Girdi!$D:$D;MATCH($A50;Event_Girdi!$A:$A;0))&gt;=Hafta_Ozet!$B11);"ACTIVE";"")))</f>
      </c>
      <c r="N50">
        <f>IF($A50="";"";IF(Hafta_Ozet!$B12="";"";IF(AND(INDEX(Event_Girdi!$C:$C;MATCH($A50;Event_Girdi!$A:$A;0))&lt;=Hafta_Ozet!$C12;INDEX(Event_Girdi!$D:$D;MATCH($A50;Event_Girdi!$A:$A;0))&gt;=Hafta_Ozet!$B12);"ACTIVE";"")))</f>
      </c>
      <c r="O50">
        <f>IF($A50="";"";IF(Hafta_Ozet!$B13="";"";IF(AND(INDEX(Event_Girdi!$C:$C;MATCH($A50;Event_Girdi!$A:$A;0))&lt;=Hafta_Ozet!$C13;INDEX(Event_Girdi!$D:$D;MATCH($A50;Event_Girdi!$A:$A;0))&gt;=Hafta_Ozet!$B13);"ACTIVE";"")))</f>
      </c>
      <c r="P50">
        <f>IF($A50="";"";IF(Hafta_Ozet!$B14="";"";IF(AND(INDEX(Event_Girdi!$C:$C;MATCH($A50;Event_Girdi!$A:$A;0))&lt;=Hafta_Ozet!$C14;INDEX(Event_Girdi!$D:$D;MATCH($A50;Event_Girdi!$A:$A;0))&gt;=Hafta_Ozet!$B14);"ACTIVE";"")))</f>
      </c>
      <c r="Q50">
        <f>IF($A50="";"";IF(Hafta_Ozet!$B15="";"";IF(AND(INDEX(Event_Girdi!$C:$C;MATCH($A50;Event_Girdi!$A:$A;0))&lt;=Hafta_Ozet!$C15;INDEX(Event_Girdi!$D:$D;MATCH($A50;Event_Girdi!$A:$A;0))&gt;=Hafta_Ozet!$B15);"ACTIVE";"")))</f>
      </c>
      <c r="R50">
        <f>IF($A50="";"";IF(Hafta_Ozet!$B16="";"";IF(AND(INDEX(Event_Girdi!$C:$C;MATCH($A50;Event_Girdi!$A:$A;0))&lt;=Hafta_Ozet!$C16;INDEX(Event_Girdi!$D:$D;MATCH($A50;Event_Girdi!$A:$A;0))&gt;=Hafta_Ozet!$B16);"ACTIVE";"")))</f>
      </c>
      <c r="S50">
        <f>IF($A50="";"";IF(Hafta_Ozet!$B17="";"";IF(AND(INDEX(Event_Girdi!$C:$C;MATCH($A50;Event_Girdi!$A:$A;0))&lt;=Hafta_Ozet!$C17;INDEX(Event_Girdi!$D:$D;MATCH($A50;Event_Girdi!$A:$A;0))&gt;=Hafta_Ozet!$B17);"ACTIVE";"")))</f>
      </c>
      <c r="T50">
        <f>IF($A50="";"";IF(Hafta_Ozet!$B18="";"";IF(AND(INDEX(Event_Girdi!$C:$C;MATCH($A50;Event_Girdi!$A:$A;0))&lt;=Hafta_Ozet!$C18;INDEX(Event_Girdi!$D:$D;MATCH($A50;Event_Girdi!$A:$A;0))&gt;=Hafta_Ozet!$B18);"ACTIVE";"")))</f>
      </c>
      <c r="U50">
        <f>IF($A50="";"";IF(Hafta_Ozet!$B19="";"";IF(AND(INDEX(Event_Girdi!$C:$C;MATCH($A50;Event_Girdi!$A:$A;0))&lt;=Hafta_Ozet!$C19;INDEX(Event_Girdi!$D:$D;MATCH($A50;Event_Girdi!$A:$A;0))&gt;=Hafta_Ozet!$B19);"ACTIVE";"")))</f>
      </c>
      <c r="V50">
        <f>IF($A50="";"";IF(Hafta_Ozet!$B20="";"";IF(AND(INDEX(Event_Girdi!$C:$C;MATCH($A50;Event_Girdi!$A:$A;0))&lt;=Hafta_Ozet!$C20;INDEX(Event_Girdi!$D:$D;MATCH($A50;Event_Girdi!$A:$A;0))&gt;=Hafta_Ozet!$B20);"ACTIVE";"")))</f>
      </c>
      <c r="W50">
        <f>IF($A50="";"";IF(Hafta_Ozet!$B21="";"";IF(AND(INDEX(Event_Girdi!$C:$C;MATCH($A50;Event_Girdi!$A:$A;0))&lt;=Hafta_Ozet!$C21;INDEX(Event_Girdi!$D:$D;MATCH($A50;Event_Girdi!$A:$A;0))&gt;=Hafta_Ozet!$B21);"ACTIVE";"")))</f>
      </c>
    </row>
    <row r="51">
      <c r="A51">
        <f>IFERROR(INDEX(FILTER(Event_Girdi!$A$2:$A;Event_Girdi!$G$2:$G="Evet");20);"")</f>
      </c>
      <c r="B51">
        <f>IF($A51="";"";INDEX(Event_Girdi!$B:$B;MATCH($A51;Event_Girdi!$A:$A;0)))</f>
      </c>
      <c r="C51">
        <f>IF($A51="";"";INDEX(Event_Girdi!$E:$E;MATCH($A51;Event_Girdi!$A:$A;0)))</f>
      </c>
      <c r="D51">
        <f>IF($A51="";"";IF(Hafta_Ozet!$B2="";"";IF(AND(INDEX(Event_Girdi!$C:$C;MATCH($A51;Event_Girdi!$A:$A;0))&lt;=Hafta_Ozet!$C2;INDEX(Event_Girdi!$D:$D;MATCH($A51;Event_Girdi!$A:$A;0))&gt;=Hafta_Ozet!$B2);"ACTIVE";"")))</f>
      </c>
      <c r="E51">
        <f>IF($A51="";"";IF(Hafta_Ozet!$B3="";"";IF(AND(INDEX(Event_Girdi!$C:$C;MATCH($A51;Event_Girdi!$A:$A;0))&lt;=Hafta_Ozet!$C3;INDEX(Event_Girdi!$D:$D;MATCH($A51;Event_Girdi!$A:$A;0))&gt;=Hafta_Ozet!$B3);"ACTIVE";"")))</f>
      </c>
      <c r="F51">
        <f>IF($A51="";"";IF(Hafta_Ozet!$B4="";"";IF(AND(INDEX(Event_Girdi!$C:$C;MATCH($A51;Event_Girdi!$A:$A;0))&lt;=Hafta_Ozet!$C4;INDEX(Event_Girdi!$D:$D;MATCH($A51;Event_Girdi!$A:$A;0))&gt;=Hafta_Ozet!$B4);"ACTIVE";"")))</f>
      </c>
      <c r="G51">
        <f>IF($A51="";"";IF(Hafta_Ozet!$B5="";"";IF(AND(INDEX(Event_Girdi!$C:$C;MATCH($A51;Event_Girdi!$A:$A;0))&lt;=Hafta_Ozet!$C5;INDEX(Event_Girdi!$D:$D;MATCH($A51;Event_Girdi!$A:$A;0))&gt;=Hafta_Ozet!$B5);"ACTIVE";"")))</f>
      </c>
      <c r="H51">
        <f>IF($A51="";"";IF(Hafta_Ozet!$B6="";"";IF(AND(INDEX(Event_Girdi!$C:$C;MATCH($A51;Event_Girdi!$A:$A;0))&lt;=Hafta_Ozet!$C6;INDEX(Event_Girdi!$D:$D;MATCH($A51;Event_Girdi!$A:$A;0))&gt;=Hafta_Ozet!$B6);"ACTIVE";"")))</f>
      </c>
      <c r="I51">
        <f>IF($A51="";"";IF(Hafta_Ozet!$B7="";"";IF(AND(INDEX(Event_Girdi!$C:$C;MATCH($A51;Event_Girdi!$A:$A;0))&lt;=Hafta_Ozet!$C7;INDEX(Event_Girdi!$D:$D;MATCH($A51;Event_Girdi!$A:$A;0))&gt;=Hafta_Ozet!$B7);"ACTIVE";"")))</f>
      </c>
      <c r="J51">
        <f>IF($A51="";"";IF(Hafta_Ozet!$B8="";"";IF(AND(INDEX(Event_Girdi!$C:$C;MATCH($A51;Event_Girdi!$A:$A;0))&lt;=Hafta_Ozet!$C8;INDEX(Event_Girdi!$D:$D;MATCH($A51;Event_Girdi!$A:$A;0))&gt;=Hafta_Ozet!$B8);"ACTIVE";"")))</f>
      </c>
      <c r="K51">
        <f>IF($A51="";"";IF(Hafta_Ozet!$B9="";"";IF(AND(INDEX(Event_Girdi!$C:$C;MATCH($A51;Event_Girdi!$A:$A;0))&lt;=Hafta_Ozet!$C9;INDEX(Event_Girdi!$D:$D;MATCH($A51;Event_Girdi!$A:$A;0))&gt;=Hafta_Ozet!$B9);"ACTIVE";"")))</f>
      </c>
      <c r="L51">
        <f>IF($A51="";"";IF(Hafta_Ozet!$B10="";"";IF(AND(INDEX(Event_Girdi!$C:$C;MATCH($A51;Event_Girdi!$A:$A;0))&lt;=Hafta_Ozet!$C10;INDEX(Event_Girdi!$D:$D;MATCH($A51;Event_Girdi!$A:$A;0))&gt;=Hafta_Ozet!$B10);"ACTIVE";"")))</f>
      </c>
      <c r="M51">
        <f>IF($A51="";"";IF(Hafta_Ozet!$B11="";"";IF(AND(INDEX(Event_Girdi!$C:$C;MATCH($A51;Event_Girdi!$A:$A;0))&lt;=Hafta_Ozet!$C11;INDEX(Event_Girdi!$D:$D;MATCH($A51;Event_Girdi!$A:$A;0))&gt;=Hafta_Ozet!$B11);"ACTIVE";"")))</f>
      </c>
      <c r="N51">
        <f>IF($A51="";"";IF(Hafta_Ozet!$B12="";"";IF(AND(INDEX(Event_Girdi!$C:$C;MATCH($A51;Event_Girdi!$A:$A;0))&lt;=Hafta_Ozet!$C12;INDEX(Event_Girdi!$D:$D;MATCH($A51;Event_Girdi!$A:$A;0))&gt;=Hafta_Ozet!$B12);"ACTIVE";"")))</f>
      </c>
      <c r="O51">
        <f>IF($A51="";"";IF(Hafta_Ozet!$B13="";"";IF(AND(INDEX(Event_Girdi!$C:$C;MATCH($A51;Event_Girdi!$A:$A;0))&lt;=Hafta_Ozet!$C13;INDEX(Event_Girdi!$D:$D;MATCH($A51;Event_Girdi!$A:$A;0))&gt;=Hafta_Ozet!$B13);"ACTIVE";"")))</f>
      </c>
      <c r="P51">
        <f>IF($A51="";"";IF(Hafta_Ozet!$B14="";"";IF(AND(INDEX(Event_Girdi!$C:$C;MATCH($A51;Event_Girdi!$A:$A;0))&lt;=Hafta_Ozet!$C14;INDEX(Event_Girdi!$D:$D;MATCH($A51;Event_Girdi!$A:$A;0))&gt;=Hafta_Ozet!$B14);"ACTIVE";"")))</f>
      </c>
      <c r="Q51">
        <f>IF($A51="";"";IF(Hafta_Ozet!$B15="";"";IF(AND(INDEX(Event_Girdi!$C:$C;MATCH($A51;Event_Girdi!$A:$A;0))&lt;=Hafta_Ozet!$C15;INDEX(Event_Girdi!$D:$D;MATCH($A51;Event_Girdi!$A:$A;0))&gt;=Hafta_Ozet!$B15);"ACTIVE";"")))</f>
      </c>
      <c r="R51">
        <f>IF($A51="";"";IF(Hafta_Ozet!$B16="";"";IF(AND(INDEX(Event_Girdi!$C:$C;MATCH($A51;Event_Girdi!$A:$A;0))&lt;=Hafta_Ozet!$C16;INDEX(Event_Girdi!$D:$D;MATCH($A51;Event_Girdi!$A:$A;0))&gt;=Hafta_Ozet!$B16);"ACTIVE";"")))</f>
      </c>
      <c r="S51">
        <f>IF($A51="";"";IF(Hafta_Ozet!$B17="";"";IF(AND(INDEX(Event_Girdi!$C:$C;MATCH($A51;Event_Girdi!$A:$A;0))&lt;=Hafta_Ozet!$C17;INDEX(Event_Girdi!$D:$D;MATCH($A51;Event_Girdi!$A:$A;0))&gt;=Hafta_Ozet!$B17);"ACTIVE";"")))</f>
      </c>
      <c r="T51">
        <f>IF($A51="";"";IF(Hafta_Ozet!$B18="";"";IF(AND(INDEX(Event_Girdi!$C:$C;MATCH($A51;Event_Girdi!$A:$A;0))&lt;=Hafta_Ozet!$C18;INDEX(Event_Girdi!$D:$D;MATCH($A51;Event_Girdi!$A:$A;0))&gt;=Hafta_Ozet!$B18);"ACTIVE";"")))</f>
      </c>
      <c r="U51">
        <f>IF($A51="";"";IF(Hafta_Ozet!$B19="";"";IF(AND(INDEX(Event_Girdi!$C:$C;MATCH($A51;Event_Girdi!$A:$A;0))&lt;=Hafta_Ozet!$C19;INDEX(Event_Girdi!$D:$D;MATCH($A51;Event_Girdi!$A:$A;0))&gt;=Hafta_Ozet!$B19);"ACTIVE";"")))</f>
      </c>
      <c r="V51">
        <f>IF($A51="";"";IF(Hafta_Ozet!$B20="";"";IF(AND(INDEX(Event_Girdi!$C:$C;MATCH($A51;Event_Girdi!$A:$A;0))&lt;=Hafta_Ozet!$C20;INDEX(Event_Girdi!$D:$D;MATCH($A51;Event_Girdi!$A:$A;0))&gt;=Hafta_Ozet!$B20);"ACTIVE";"")))</f>
      </c>
      <c r="W51">
        <f>IF($A51="";"";IF(Hafta_Ozet!$B21="";"";IF(AND(INDEX(Event_Girdi!$C:$C;MATCH($A51;Event_Girdi!$A:$A;0))&lt;=Hafta_Ozet!$C21;INDEX(Event_Girdi!$D:$D;MATCH($A51;Event_Girdi!$A:$A;0))&gt;=Hafta_Ozet!$B21);"ACTIVE";"")))</f>
      </c>
    </row>
    <row r="53">
      <c r="A53" t="inlineStr">
        <is>
          <t>Winner Organik</t>
        </is>
      </c>
      <c r="D53">
        <f>IF(Hafta_Ozet!A2="";"";Hafta_Ozet!G2)</f>
      </c>
      <c r="E53">
        <f>IF(Hafta_Ozet!A3="";"";Hafta_Ozet!G3)</f>
      </c>
      <c r="F53">
        <f>IF(Hafta_Ozet!A4="";"";Hafta_Ozet!G4)</f>
      </c>
      <c r="G53">
        <f>IF(Hafta_Ozet!A5="";"";Hafta_Ozet!G5)</f>
      </c>
      <c r="H53">
        <f>IF(Hafta_Ozet!A6="";"";Hafta_Ozet!G6)</f>
      </c>
      <c r="I53">
        <f>IF(Hafta_Ozet!A7="";"";Hafta_Ozet!G7)</f>
      </c>
      <c r="J53">
        <f>IF(Hafta_Ozet!A8="";"";Hafta_Ozet!G8)</f>
      </c>
      <c r="K53">
        <f>IF(Hafta_Ozet!A9="";"";Hafta_Ozet!G9)</f>
      </c>
      <c r="L53">
        <f>IF(Hafta_Ozet!A10="";"";Hafta_Ozet!G10)</f>
      </c>
      <c r="M53">
        <f>IF(Hafta_Ozet!A11="";"";Hafta_Ozet!G11)</f>
      </c>
      <c r="N53">
        <f>IF(Hafta_Ozet!A12="";"";Hafta_Ozet!G12)</f>
      </c>
      <c r="O53">
        <f>IF(Hafta_Ozet!A13="";"";Hafta_Ozet!G13)</f>
      </c>
      <c r="P53">
        <f>IF(Hafta_Ozet!A14="";"";Hafta_Ozet!G14)</f>
      </c>
      <c r="Q53">
        <f>IF(Hafta_Ozet!A15="";"";Hafta_Ozet!G15)</f>
      </c>
      <c r="R53">
        <f>IF(Hafta_Ozet!A16="";"";Hafta_Ozet!G16)</f>
      </c>
      <c r="S53">
        <f>IF(Hafta_Ozet!A17="";"";Hafta_Ozet!G17)</f>
      </c>
      <c r="T53">
        <f>IF(Hafta_Ozet!A18="";"";Hafta_Ozet!G18)</f>
      </c>
      <c r="U53">
        <f>IF(Hafta_Ozet!A19="";"";Hafta_Ozet!G19)</f>
      </c>
      <c r="V53">
        <f>IF(Hafta_Ozet!A20="";"";Hafta_Ozet!G20)</f>
      </c>
      <c r="W53">
        <f>IF(Hafta_Ozet!A21="";"";Hafta_Ozet!G21)</f>
      </c>
    </row>
    <row r="54">
      <c r="A54" t="inlineStr">
        <is>
          <t>Winner Deeplink</t>
        </is>
      </c>
      <c r="D54">
        <f>IF(Hafta_Ozet!A2="";"";Hafta_Ozet!H2)</f>
      </c>
      <c r="E54">
        <f>IF(Hafta_Ozet!A3="";"";Hafta_Ozet!H3)</f>
      </c>
      <c r="F54">
        <f>IF(Hafta_Ozet!A4="";"";Hafta_Ozet!H4)</f>
      </c>
      <c r="G54">
        <f>IF(Hafta_Ozet!A5="";"";Hafta_Ozet!H5)</f>
      </c>
      <c r="H54">
        <f>IF(Hafta_Ozet!A6="";"";Hafta_Ozet!H6)</f>
      </c>
      <c r="I54">
        <f>IF(Hafta_Ozet!A7="";"";Hafta_Ozet!H7)</f>
      </c>
      <c r="J54">
        <f>IF(Hafta_Ozet!A8="";"";Hafta_Ozet!H8)</f>
      </c>
      <c r="K54">
        <f>IF(Hafta_Ozet!A9="";"";Hafta_Ozet!H9)</f>
      </c>
      <c r="L54">
        <f>IF(Hafta_Ozet!A10="";"";Hafta_Ozet!H10)</f>
      </c>
      <c r="M54">
        <f>IF(Hafta_Ozet!A11="";"";Hafta_Ozet!H11)</f>
      </c>
      <c r="N54">
        <f>IF(Hafta_Ozet!A12="";"";Hafta_Ozet!H12)</f>
      </c>
      <c r="O54">
        <f>IF(Hafta_Ozet!A13="";"";Hafta_Ozet!H13)</f>
      </c>
      <c r="P54">
        <f>IF(Hafta_Ozet!A14="";"";Hafta_Ozet!H14)</f>
      </c>
      <c r="Q54">
        <f>IF(Hafta_Ozet!A15="";"";Hafta_Ozet!H15)</f>
      </c>
      <c r="R54">
        <f>IF(Hafta_Ozet!A16="";"";Hafta_Ozet!H16)</f>
      </c>
      <c r="S54">
        <f>IF(Hafta_Ozet!A17="";"";Hafta_Ozet!H17)</f>
      </c>
      <c r="T54">
        <f>IF(Hafta_Ozet!A18="";"";Hafta_Ozet!H18)</f>
      </c>
      <c r="U54">
        <f>IF(Hafta_Ozet!A19="";"";Hafta_Ozet!H19)</f>
      </c>
      <c r="V54">
        <f>IF(Hafta_Ozet!A20="";"";Hafta_Ozet!H20)</f>
      </c>
      <c r="W54">
        <f>IF(Hafta_Ozet!A21="";"";Hafta_Ozet!H21)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2026-03-06T11:48:51Z</dcterms:created>
  <dcterms:modified xsi:type="dcterms:W3CDTF">2026-03-06T11:48:51Z</dcterms:modified>
</cp:coreProperties>
</file>