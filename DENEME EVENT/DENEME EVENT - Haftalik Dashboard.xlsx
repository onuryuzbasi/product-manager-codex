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_Girdi" sheetId="1" r:id="rId1"/>
    <sheet name="Hafta_Ozet" sheetId="2" r:id="rId2"/>
    <sheet name="Dashboard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60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  <c r="H1" t="inlineStr">
        <is>
          <t>Deeplink_Sira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  <c r="H2">
        <f>IF(F2="Evet",0,1)</f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  <c r="H3">
        <f>IF(F3="Evet",0,1)</f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  <c r="H4">
        <f>IF(F4="Evet",0,1)</f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  <c r="H5">
        <f>IF(F5="Evet",0,1)</f>
      </c>
    </row>
    <row r="6">
      <c r="H6">
        <f>IF(F6="","",IF(F6="Evet",0,1))</f>
      </c>
    </row>
    <row r="7">
      <c r="H7">
        <f>IF(F7="","",IF(F7="Evet",0,1))</f>
      </c>
    </row>
    <row r="8">
      <c r="H8">
        <f>IF(F8="","",IF(F8="Evet",0,1))</f>
      </c>
    </row>
    <row r="9">
      <c r="H9">
        <f>IF(F9="","",IF(F9="Evet",0,1))</f>
      </c>
    </row>
    <row r="10">
      <c r="H10">
        <f>IF(F10="","",IF(F10="Evet",0,1))</f>
      </c>
    </row>
    <row r="11">
      <c r="H11">
        <f>IF(F11="","",IF(F11="Evet",0,1))</f>
      </c>
    </row>
    <row r="12">
      <c r="H12">
        <f>IF(F12="","",IF(F12="Evet",0,1))</f>
      </c>
    </row>
    <row r="13">
      <c r="H13">
        <f>IF(F13="","",IF(F13="Evet",0,1))</f>
      </c>
    </row>
    <row r="14">
      <c r="H14">
        <f>IF(F14="","",IF(F14="Evet",0,1))</f>
      </c>
    </row>
    <row r="15">
      <c r="H15">
        <f>IF(F15="","",IF(F15="Evet",0,1))</f>
      </c>
    </row>
    <row r="16">
      <c r="H16">
        <f>IF(F16="","",IF(F16="Evet",0,1))</f>
      </c>
    </row>
    <row r="17">
      <c r="H17">
        <f>IF(F17="","",IF(F17="Evet",0,1))</f>
      </c>
    </row>
    <row r="18">
      <c r="H18">
        <f>IF(F18="","",IF(F18="Evet",0,1))</f>
      </c>
    </row>
    <row r="19">
      <c r="H19">
        <f>IF(F19="","",IF(F19="Evet",0,1))</f>
      </c>
    </row>
    <row r="20">
      <c r="H20">
        <f>IF(F20="","",IF(F20="Evet",0,1))</f>
      </c>
    </row>
    <row r="21">
      <c r="H21">
        <f>IF(F21="","",IF(F21="Evet",0,1))</f>
      </c>
    </row>
    <row r="22">
      <c r="H22">
        <f>IF(F22="","",IF(F22="Evet",0,1))</f>
      </c>
    </row>
    <row r="23">
      <c r="H23">
        <f>IF(F23="","",IF(F23="Evet",0,1))</f>
      </c>
    </row>
    <row r="24">
      <c r="H24">
        <f>IF(F24="","",IF(F24="Evet",0,1))</f>
      </c>
    </row>
    <row r="25">
      <c r="H25">
        <f>IF(F25="","",IF(F25="Evet",0,1))</f>
      </c>
    </row>
    <row r="26">
      <c r="H26">
        <f>IF(F26="","",IF(F26="Evet",0,1))</f>
      </c>
    </row>
    <row r="27">
      <c r="H27">
        <f>IF(F27="","",IF(F27="Evet",0,1))</f>
      </c>
    </row>
    <row r="28">
      <c r="H28">
        <f>IF(F28="","",IF(F28="Evet",0,1))</f>
      </c>
    </row>
    <row r="29">
      <c r="H29">
        <f>IF(F29="","",IF(F29="Evet",0,1))</f>
      </c>
    </row>
    <row r="30">
      <c r="H30">
        <f>IF(F30="","",IF(F30="Evet",0,1))</f>
      </c>
    </row>
    <row r="31">
      <c r="H31">
        <f>IF(F31="","",IF(F31="Evet",0,1))</f>
      </c>
    </row>
    <row r="32">
      <c r="H32">
        <f>IF(F32="","",IF(F32="Evet",0,1))</f>
      </c>
    </row>
    <row r="33">
      <c r="H33">
        <f>IF(F33="","",IF(F33="Evet",0,1))</f>
      </c>
    </row>
    <row r="34">
      <c r="H34">
        <f>IF(F34="","",IF(F34="Evet",0,1))</f>
      </c>
    </row>
    <row r="35">
      <c r="H35">
        <f>IF(F35="","",IF(F35="Evet",0,1))</f>
      </c>
    </row>
    <row r="36">
      <c r="H36">
        <f>IF(F36="","",IF(F36="Evet",0,1))</f>
      </c>
    </row>
    <row r="37">
      <c r="H37">
        <f>IF(F37="","",IF(F37="Evet",0,1))</f>
      </c>
    </row>
    <row r="38">
      <c r="H38">
        <f>IF(F38="","",IF(F38="Evet",0,1))</f>
      </c>
    </row>
    <row r="39">
      <c r="H39">
        <f>IF(F39="","",IF(F39="Evet",0,1))</f>
      </c>
    </row>
    <row r="40">
      <c r="H40">
        <f>IF(F40="","",IF(F40="Evet",0,1))</f>
      </c>
    </row>
    <row r="41">
      <c r="H41">
        <f>IF(F41="","",IF(F41="Evet",0,1))</f>
      </c>
    </row>
    <row r="42">
      <c r="H42">
        <f>IF(F42="","",IF(F42="Evet",0,1))</f>
      </c>
    </row>
    <row r="43">
      <c r="H43">
        <f>IF(F43="","",IF(F43="Evet",0,1))</f>
      </c>
    </row>
    <row r="44">
      <c r="H44">
        <f>IF(F44="","",IF(F44="Evet",0,1))</f>
      </c>
    </row>
    <row r="45">
      <c r="H45">
        <f>IF(F45="","",IF(F45="Evet",0,1))</f>
      </c>
    </row>
    <row r="46">
      <c r="H46">
        <f>IF(F46="","",IF(F46="Evet",0,1))</f>
      </c>
    </row>
    <row r="47">
      <c r="H47">
        <f>IF(F47="","",IF(F47="Evet",0,1))</f>
      </c>
    </row>
    <row r="48">
      <c r="H48">
        <f>IF(F48="","",IF(F48="Evet",0,1))</f>
      </c>
    </row>
    <row r="49">
      <c r="H49">
        <f>IF(F49="","",IF(F49="Evet",0,1))</f>
      </c>
    </row>
    <row r="50">
      <c r="H50">
        <f>IF(F50="","",IF(F50="Evet",0,1))</f>
      </c>
    </row>
    <row r="51">
      <c r="H51">
        <f>IF(F51="","",IF(F51="Evet",0,1))</f>
      </c>
    </row>
    <row r="52">
      <c r="H52">
        <f>IF(F52="","",IF(F52="Evet",0,1))</f>
      </c>
    </row>
    <row r="53">
      <c r="H53">
        <f>IF(F53="","",IF(F53="Evet",0,1))</f>
      </c>
    </row>
    <row r="54">
      <c r="H54">
        <f>IF(F54="","",IF(F54="Evet",0,1))</f>
      </c>
    </row>
    <row r="55">
      <c r="H55">
        <f>IF(F55="","",IF(F55="Evet",0,1))</f>
      </c>
    </row>
    <row r="56">
      <c r="H56">
        <f>IF(F56="","",IF(F56="Evet",0,1))</f>
      </c>
    </row>
    <row r="57">
      <c r="H57">
        <f>IF(F57="","",IF(F57="Evet",0,1))</f>
      </c>
    </row>
    <row r="58">
      <c r="H58">
        <f>IF(F58="","",IF(F58="Evet",0,1))</f>
      </c>
    </row>
    <row r="59">
      <c r="H59">
        <f>IF(F59="","",IF(F59="Evet",0,1))</f>
      </c>
    </row>
    <row r="60">
      <c r="H60">
        <f>IF(F60="","",IF(F60="Evet",0,1))</f>
      </c>
    </row>
  </sheetData>
</worksheet>
</file>

<file path=xl/worksheets/sheet2.xml><?xml version="1.0" encoding="utf-8"?>
<worksheet xmlns="http://schemas.openxmlformats.org/spreadsheetml/2006/main">
  <dimension ref="A1:J31"/>
  <sheetData>
    <row r="1">
      <c r="A1" t="inlineStr">
        <is>
          <t>Hafta_No</t>
        </is>
      </c>
      <c r="B1" t="inlineStr">
        <is>
          <t>Hafta_Baslangic</t>
        </is>
      </c>
      <c r="C1" t="inlineStr">
        <is>
          <t>Hafta_Bitis</t>
        </is>
      </c>
      <c r="D1" t="inlineStr">
        <is>
          <t>Tarih_Araligi</t>
        </is>
      </c>
      <c r="E1" t="inlineStr">
        <is>
          <t>Aktif_Eventler</t>
        </is>
      </c>
      <c r="F1" t="inlineStr">
        <is>
          <t>Cakisma_Max</t>
        </is>
      </c>
      <c r="G1" t="inlineStr">
        <is>
          <t>Winner_Organik</t>
        </is>
      </c>
      <c r="H1" t="inlineStr">
        <is>
          <t>Winner_Deeplink</t>
        </is>
      </c>
      <c r="I1" t="inlineStr">
        <is>
          <t>Queue_Hafta_Basi</t>
        </is>
      </c>
      <c r="J1" t="inlineStr">
        <is>
          <t>Durum</t>
        </is>
      </c>
    </row>
    <row r="2">
      <c r="A2">
        <f>IF(B2="","","W"&amp;(ROW()-1))</f>
      </c>
      <c r="B2" s="1">
        <f>IFERROR(MIN(FILTER(Event_Girdi!$C$2:$C,Event_Girdi!$G$2:$G="Evet"))-WEEKDAY(MIN(FILTER(Event_Girdi!$C$2:$C,Event_Girdi!$G$2:$G="Evet")),2)+1,"")</f>
      </c>
      <c r="C2" s="1">
        <f>IF(B2="","",B2+6)</f>
      </c>
      <c r="D2">
        <f>IF(B2="","",TEXT(B2,"dd mmm")&amp;" - "&amp;TEXT(C2,"dd mmm"))</f>
      </c>
      <c r="E2">
        <f>IF(B2="","",IFERROR(TEXTJOIN(", ",TRUE,FILTER(Event_Girdi!$A$2:$A,Event_Girdi!$G$2:$G="Evet",Event_Girdi!$C$2:$C&lt;=C2,Event_Girdi!$D$2:$D&gt;=B2)),""))</f>
      </c>
      <c r="F2">
        <f>IF(B2="","",MAX(COUNTIFS(Event_Girdi!$C$2:$C,"&lt;="&amp;B2,Event_Girdi!$D$2:$D,"&gt;="&amp;B2,Event_Girdi!$G$2:$G,"Evet"),COUNTIFS(Event_Girdi!$C$2:$C,"&lt;="&amp;B2+1,Event_Girdi!$D$2:$D,"&gt;="&amp;B2+1,Event_Girdi!$G$2:$G,"Evet"),COUNTIFS(Event_Girdi!$C$2:$C,"&lt;="&amp;B2+2,Event_Girdi!$D$2:$D,"&gt;="&amp;B2+2,Event_Girdi!$G$2:$G,"Evet"),COUNTIFS(Event_Girdi!$C$2:$C,"&lt;="&amp;B2+3,Event_Girdi!$D$2:$D,"&gt;="&amp;B2+3,Event_Girdi!$G$2:$G,"Evet"),COUNTIFS(Event_Girdi!$C$2:$C,"&lt;="&amp;B2+4,Event_Girdi!$D$2:$D,"&gt;="&amp;B2+4,Event_Girdi!$G$2:$G,"Evet"),COUNTIFS(Event_Girdi!$C$2:$C,"&lt;="&amp;B2+5,Event_Girdi!$D$2:$D,"&gt;="&amp;B2+5,Event_Girdi!$G$2:$G,"Evet"),COUNTIFS(Event_Girdi!$C$2:$C,"&lt;="&amp;B2+6,Event_Girdi!$D$2:$D,"&gt;="&amp;B2+6,Event_Girdi!$G$2:$G,"Evet")))</f>
      </c>
      <c r="G2">
        <f>IF(B2="","",IFERROR(INDEX(SORT(FILTER(Event_Girdi!$A$2:$E,Event_Girdi!$G$2:$G="Evet",Event_Girdi!$C$2:$C&lt;=B2,Event_Girdi!$D$2:$D&gt;=B2),5,TRUE,3,TRUE,1,TRUE),1,1),""))</f>
      </c>
      <c r="H2">
        <f>IF(B2="","",IFERROR(INDEX(SORT(FILTER(Event_Girdi!$A$2:$F,Event_Girdi!$G$2:$G="Evet",Event_Girdi!$F$2:$F="Evet",Event_Girdi!$C$2:$C&lt;=B2,Event_Girdi!$D$2:$D&gt;=B2),3,TRUE,1,TRUE),1,1),G2))</f>
      </c>
      <c r="I2">
        <f>IF(B2="","",IFERROR(TEXTJOIN(" &gt; ",TRUE,INDEX(SORT(FILTER(Event_Girdi!$A$2:$H,Event_Girdi!$G$2:$G="Evet",Event_Girdi!$C$2:$C&lt;=B2,Event_Girdi!$D$2:$D&gt;=B2),8,TRUE,5,TRUE,3,TRUE,1,TRUE),,1)),""))</f>
      </c>
      <c r="J2">
        <f>IF(B2="","",IF(F2&gt;1,"Cakisiyor","Normal"))</f>
      </c>
    </row>
    <row r="3">
      <c r="A3">
        <f>IF(B3="","","W"&amp;(ROW()-1))</f>
      </c>
      <c r="B3" s="1">
        <f>IF(B2="","",IF(B2+7&lt;=MAX(FILTER(Event_Girdi!$D$2:$D,Event_Girdi!$G$2:$G="Evet"))+6,B2+7,""))</f>
      </c>
      <c r="C3" s="1">
        <f>IF(B3="","",B3+6)</f>
      </c>
      <c r="D3">
        <f>IF(B3="","",TEXT(B3,"dd mmm")&amp;" - "&amp;TEXT(C3,"dd mmm"))</f>
      </c>
      <c r="E3">
        <f>IF(B3="","",IFERROR(TEXTJOIN(", ",TRUE,FILTER(Event_Girdi!$A$2:$A,Event_Girdi!$G$2:$G="Evet",Event_Girdi!$C$2:$C&lt;=C3,Event_Girdi!$D$2:$D&gt;=B3)),""))</f>
      </c>
      <c r="F3">
        <f>IF(B3="","",MAX(COUNTIFS(Event_Girdi!$C$2:$C,"&lt;="&amp;B3,Event_Girdi!$D$2:$D,"&gt;="&amp;B3,Event_Girdi!$G$2:$G,"Evet"),COUNTIFS(Event_Girdi!$C$2:$C,"&lt;="&amp;B3+1,Event_Girdi!$D$2:$D,"&gt;="&amp;B3+1,Event_Girdi!$G$2:$G,"Evet"),COUNTIFS(Event_Girdi!$C$2:$C,"&lt;="&amp;B3+2,Event_Girdi!$D$2:$D,"&gt;="&amp;B3+2,Event_Girdi!$G$2:$G,"Evet"),COUNTIFS(Event_Girdi!$C$2:$C,"&lt;="&amp;B3+3,Event_Girdi!$D$2:$D,"&gt;="&amp;B3+3,Event_Girdi!$G$2:$G,"Evet"),COUNTIFS(Event_Girdi!$C$2:$C,"&lt;="&amp;B3+4,Event_Girdi!$D$2:$D,"&gt;="&amp;B3+4,Event_Girdi!$G$2:$G,"Evet"),COUNTIFS(Event_Girdi!$C$2:$C,"&lt;="&amp;B3+5,Event_Girdi!$D$2:$D,"&gt;="&amp;B3+5,Event_Girdi!$G$2:$G,"Evet"),COUNTIFS(Event_Girdi!$C$2:$C,"&lt;="&amp;B3+6,Event_Girdi!$D$2:$D,"&gt;="&amp;B3+6,Event_Girdi!$G$2:$G,"Evet")))</f>
      </c>
      <c r="G3">
        <f>IF(B3="","",IFERROR(INDEX(SORT(FILTER(Event_Girdi!$A$2:$E,Event_Girdi!$G$2:$G="Evet",Event_Girdi!$C$2:$C&lt;=B3,Event_Girdi!$D$2:$D&gt;=B3),5,TRUE,3,TRUE,1,TRUE),1,1),""))</f>
      </c>
      <c r="H3">
        <f>IF(B3="","",IFERROR(INDEX(SORT(FILTER(Event_Girdi!$A$2:$F,Event_Girdi!$G$2:$G="Evet",Event_Girdi!$F$2:$F="Evet",Event_Girdi!$C$2:$C&lt;=B3,Event_Girdi!$D$2:$D&gt;=B3),3,TRUE,1,TRUE),1,1),G3))</f>
      </c>
      <c r="I3">
        <f>IF(B3="","",IFERROR(TEXTJOIN(" &gt; ",TRUE,INDEX(SORT(FILTER(Event_Girdi!$A$2:$H,Event_Girdi!$G$2:$G="Evet",Event_Girdi!$C$2:$C&lt;=B3,Event_Girdi!$D$2:$D&gt;=B3),8,TRUE,5,TRUE,3,TRUE,1,TRUE),,1)),""))</f>
      </c>
      <c r="J3">
        <f>IF(B3="","",IF(F3&gt;1,"Cakisiyor","Normal"))</f>
      </c>
    </row>
    <row r="4">
      <c r="A4">
        <f>IF(B4="","","W"&amp;(ROW()-1))</f>
      </c>
      <c r="B4" s="1">
        <f>IF(B3="","",IF(B3+7&lt;=MAX(FILTER(Event_Girdi!$D$2:$D,Event_Girdi!$G$2:$G="Evet"))+6,B3+7,""))</f>
      </c>
      <c r="C4" s="1">
        <f>IF(B4="","",B4+6)</f>
      </c>
      <c r="D4">
        <f>IF(B4="","",TEXT(B4,"dd mmm")&amp;" - "&amp;TEXT(C4,"dd mmm"))</f>
      </c>
      <c r="E4">
        <f>IF(B4="","",IFERROR(TEXTJOIN(", ",TRUE,FILTER(Event_Girdi!$A$2:$A,Event_Girdi!$G$2:$G="Evet",Event_Girdi!$C$2:$C&lt;=C4,Event_Girdi!$D$2:$D&gt;=B4)),""))</f>
      </c>
      <c r="F4">
        <f>IF(B4="","",MAX(COUNTIFS(Event_Girdi!$C$2:$C,"&lt;="&amp;B4,Event_Girdi!$D$2:$D,"&gt;="&amp;B4,Event_Girdi!$G$2:$G,"Evet"),COUNTIFS(Event_Girdi!$C$2:$C,"&lt;="&amp;B4+1,Event_Girdi!$D$2:$D,"&gt;="&amp;B4+1,Event_Girdi!$G$2:$G,"Evet"),COUNTIFS(Event_Girdi!$C$2:$C,"&lt;="&amp;B4+2,Event_Girdi!$D$2:$D,"&gt;="&amp;B4+2,Event_Girdi!$G$2:$G,"Evet"),COUNTIFS(Event_Girdi!$C$2:$C,"&lt;="&amp;B4+3,Event_Girdi!$D$2:$D,"&gt;="&amp;B4+3,Event_Girdi!$G$2:$G,"Evet"),COUNTIFS(Event_Girdi!$C$2:$C,"&lt;="&amp;B4+4,Event_Girdi!$D$2:$D,"&gt;="&amp;B4+4,Event_Girdi!$G$2:$G,"Evet"),COUNTIFS(Event_Girdi!$C$2:$C,"&lt;="&amp;B4+5,Event_Girdi!$D$2:$D,"&gt;="&amp;B4+5,Event_Girdi!$G$2:$G,"Evet"),COUNTIFS(Event_Girdi!$C$2:$C,"&lt;="&amp;B4+6,Event_Girdi!$D$2:$D,"&gt;="&amp;B4+6,Event_Girdi!$G$2:$G,"Evet")))</f>
      </c>
      <c r="G4">
        <f>IF(B4="","",IFERROR(INDEX(SORT(FILTER(Event_Girdi!$A$2:$E,Event_Girdi!$G$2:$G="Evet",Event_Girdi!$C$2:$C&lt;=B4,Event_Girdi!$D$2:$D&gt;=B4),5,TRUE,3,TRUE,1,TRUE),1,1),""))</f>
      </c>
      <c r="H4">
        <f>IF(B4="","",IFERROR(INDEX(SORT(FILTER(Event_Girdi!$A$2:$F,Event_Girdi!$G$2:$G="Evet",Event_Girdi!$F$2:$F="Evet",Event_Girdi!$C$2:$C&lt;=B4,Event_Girdi!$D$2:$D&gt;=B4),3,TRUE,1,TRUE),1,1),G4))</f>
      </c>
      <c r="I4">
        <f>IF(B4="","",IFERROR(TEXTJOIN(" &gt; ",TRUE,INDEX(SORT(FILTER(Event_Girdi!$A$2:$H,Event_Girdi!$G$2:$G="Evet",Event_Girdi!$C$2:$C&lt;=B4,Event_Girdi!$D$2:$D&gt;=B4),8,TRUE,5,TRUE,3,TRUE,1,TRUE),,1)),""))</f>
      </c>
      <c r="J4">
        <f>IF(B4="","",IF(F4&gt;1,"Cakisiyor","Normal"))</f>
      </c>
    </row>
    <row r="5">
      <c r="A5">
        <f>IF(B5="","","W"&amp;(ROW()-1))</f>
      </c>
      <c r="B5" s="1">
        <f>IF(B4="","",IF(B4+7&lt;=MAX(FILTER(Event_Girdi!$D$2:$D,Event_Girdi!$G$2:$G="Evet"))+6,B4+7,""))</f>
      </c>
      <c r="C5" s="1">
        <f>IF(B5="","",B5+6)</f>
      </c>
      <c r="D5">
        <f>IF(B5="","",TEXT(B5,"dd mmm")&amp;" - "&amp;TEXT(C5,"dd mmm"))</f>
      </c>
      <c r="E5">
        <f>IF(B5="","",IFERROR(TEXTJOIN(", ",TRUE,FILTER(Event_Girdi!$A$2:$A,Event_Girdi!$G$2:$G="Evet",Event_Girdi!$C$2:$C&lt;=C5,Event_Girdi!$D$2:$D&gt;=B5)),""))</f>
      </c>
      <c r="F5">
        <f>IF(B5="","",MAX(COUNTIFS(Event_Girdi!$C$2:$C,"&lt;="&amp;B5,Event_Girdi!$D$2:$D,"&gt;="&amp;B5,Event_Girdi!$G$2:$G,"Evet"),COUNTIFS(Event_Girdi!$C$2:$C,"&lt;="&amp;B5+1,Event_Girdi!$D$2:$D,"&gt;="&amp;B5+1,Event_Girdi!$G$2:$G,"Evet"),COUNTIFS(Event_Girdi!$C$2:$C,"&lt;="&amp;B5+2,Event_Girdi!$D$2:$D,"&gt;="&amp;B5+2,Event_Girdi!$G$2:$G,"Evet"),COUNTIFS(Event_Girdi!$C$2:$C,"&lt;="&amp;B5+3,Event_Girdi!$D$2:$D,"&gt;="&amp;B5+3,Event_Girdi!$G$2:$G,"Evet"),COUNTIFS(Event_Girdi!$C$2:$C,"&lt;="&amp;B5+4,Event_Girdi!$D$2:$D,"&gt;="&amp;B5+4,Event_Girdi!$G$2:$G,"Evet"),COUNTIFS(Event_Girdi!$C$2:$C,"&lt;="&amp;B5+5,Event_Girdi!$D$2:$D,"&gt;="&amp;B5+5,Event_Girdi!$G$2:$G,"Evet"),COUNTIFS(Event_Girdi!$C$2:$C,"&lt;="&amp;B5+6,Event_Girdi!$D$2:$D,"&gt;="&amp;B5+6,Event_Girdi!$G$2:$G,"Evet")))</f>
      </c>
      <c r="G5">
        <f>IF(B5="","",IFERROR(INDEX(SORT(FILTER(Event_Girdi!$A$2:$E,Event_Girdi!$G$2:$G="Evet",Event_Girdi!$C$2:$C&lt;=B5,Event_Girdi!$D$2:$D&gt;=B5),5,TRUE,3,TRUE,1,TRUE),1,1),""))</f>
      </c>
      <c r="H5">
        <f>IF(B5="","",IFERROR(INDEX(SORT(FILTER(Event_Girdi!$A$2:$F,Event_Girdi!$G$2:$G="Evet",Event_Girdi!$F$2:$F="Evet",Event_Girdi!$C$2:$C&lt;=B5,Event_Girdi!$D$2:$D&gt;=B5),3,TRUE,1,TRUE),1,1),G5))</f>
      </c>
      <c r="I5">
        <f>IF(B5="","",IFERROR(TEXTJOIN(" &gt; ",TRUE,INDEX(SORT(FILTER(Event_Girdi!$A$2:$H,Event_Girdi!$G$2:$G="Evet",Event_Girdi!$C$2:$C&lt;=B5,Event_Girdi!$D$2:$D&gt;=B5),8,TRUE,5,TRUE,3,TRUE,1,TRUE),,1)),""))</f>
      </c>
      <c r="J5">
        <f>IF(B5="","",IF(F5&gt;1,"Cakisiyor","Normal"))</f>
      </c>
    </row>
    <row r="6">
      <c r="A6">
        <f>IF(B6="","","W"&amp;(ROW()-1))</f>
      </c>
      <c r="B6" s="1">
        <f>IF(B5="","",IF(B5+7&lt;=MAX(FILTER(Event_Girdi!$D$2:$D,Event_Girdi!$G$2:$G="Evet"))+6,B5+7,""))</f>
      </c>
      <c r="C6" s="1">
        <f>IF(B6="","",B6+6)</f>
      </c>
      <c r="D6">
        <f>IF(B6="","",TEXT(B6,"dd mmm")&amp;" - "&amp;TEXT(C6,"dd mmm"))</f>
      </c>
      <c r="E6">
        <f>IF(B6="","",IFERROR(TEXTJOIN(", ",TRUE,FILTER(Event_Girdi!$A$2:$A,Event_Girdi!$G$2:$G="Evet",Event_Girdi!$C$2:$C&lt;=C6,Event_Girdi!$D$2:$D&gt;=B6)),""))</f>
      </c>
      <c r="F6">
        <f>IF(B6="","",MAX(COUNTIFS(Event_Girdi!$C$2:$C,"&lt;="&amp;B6,Event_Girdi!$D$2:$D,"&gt;="&amp;B6,Event_Girdi!$G$2:$G,"Evet"),COUNTIFS(Event_Girdi!$C$2:$C,"&lt;="&amp;B6+1,Event_Girdi!$D$2:$D,"&gt;="&amp;B6+1,Event_Girdi!$G$2:$G,"Evet"),COUNTIFS(Event_Girdi!$C$2:$C,"&lt;="&amp;B6+2,Event_Girdi!$D$2:$D,"&gt;="&amp;B6+2,Event_Girdi!$G$2:$G,"Evet"),COUNTIFS(Event_Girdi!$C$2:$C,"&lt;="&amp;B6+3,Event_Girdi!$D$2:$D,"&gt;="&amp;B6+3,Event_Girdi!$G$2:$G,"Evet"),COUNTIFS(Event_Girdi!$C$2:$C,"&lt;="&amp;B6+4,Event_Girdi!$D$2:$D,"&gt;="&amp;B6+4,Event_Girdi!$G$2:$G,"Evet"),COUNTIFS(Event_Girdi!$C$2:$C,"&lt;="&amp;B6+5,Event_Girdi!$D$2:$D,"&gt;="&amp;B6+5,Event_Girdi!$G$2:$G,"Evet"),COUNTIFS(Event_Girdi!$C$2:$C,"&lt;="&amp;B6+6,Event_Girdi!$D$2:$D,"&gt;="&amp;B6+6,Event_Girdi!$G$2:$G,"Evet")))</f>
      </c>
      <c r="G6">
        <f>IF(B6="","",IFERROR(INDEX(SORT(FILTER(Event_Girdi!$A$2:$E,Event_Girdi!$G$2:$G="Evet",Event_Girdi!$C$2:$C&lt;=B6,Event_Girdi!$D$2:$D&gt;=B6),5,TRUE,3,TRUE,1,TRUE),1,1),""))</f>
      </c>
      <c r="H6">
        <f>IF(B6="","",IFERROR(INDEX(SORT(FILTER(Event_Girdi!$A$2:$F,Event_Girdi!$G$2:$G="Evet",Event_Girdi!$F$2:$F="Evet",Event_Girdi!$C$2:$C&lt;=B6,Event_Girdi!$D$2:$D&gt;=B6),3,TRUE,1,TRUE),1,1),G6))</f>
      </c>
      <c r="I6">
        <f>IF(B6="","",IFERROR(TEXTJOIN(" &gt; ",TRUE,INDEX(SORT(FILTER(Event_Girdi!$A$2:$H,Event_Girdi!$G$2:$G="Evet",Event_Girdi!$C$2:$C&lt;=B6,Event_Girdi!$D$2:$D&gt;=B6),8,TRUE,5,TRUE,3,TRUE,1,TRUE),,1)),""))</f>
      </c>
      <c r="J6">
        <f>IF(B6="","",IF(F6&gt;1,"Cakisiyor","Normal"))</f>
      </c>
    </row>
    <row r="7">
      <c r="A7">
        <f>IF(B7="","","W"&amp;(ROW()-1))</f>
      </c>
      <c r="B7" s="1">
        <f>IF(B6="","",IF(B6+7&lt;=MAX(FILTER(Event_Girdi!$D$2:$D,Event_Girdi!$G$2:$G="Evet"))+6,B6+7,""))</f>
      </c>
      <c r="C7" s="1">
        <f>IF(B7="","",B7+6)</f>
      </c>
      <c r="D7">
        <f>IF(B7="","",TEXT(B7,"dd mmm")&amp;" - "&amp;TEXT(C7,"dd mmm"))</f>
      </c>
      <c r="E7">
        <f>IF(B7="","",IFERROR(TEXTJOIN(", ",TRUE,FILTER(Event_Girdi!$A$2:$A,Event_Girdi!$G$2:$G="Evet",Event_Girdi!$C$2:$C&lt;=C7,Event_Girdi!$D$2:$D&gt;=B7)),""))</f>
      </c>
      <c r="F7">
        <f>IF(B7="","",MAX(COUNTIFS(Event_Girdi!$C$2:$C,"&lt;="&amp;B7,Event_Girdi!$D$2:$D,"&gt;="&amp;B7,Event_Girdi!$G$2:$G,"Evet"),COUNTIFS(Event_Girdi!$C$2:$C,"&lt;="&amp;B7+1,Event_Girdi!$D$2:$D,"&gt;="&amp;B7+1,Event_Girdi!$G$2:$G,"Evet"),COUNTIFS(Event_Girdi!$C$2:$C,"&lt;="&amp;B7+2,Event_Girdi!$D$2:$D,"&gt;="&amp;B7+2,Event_Girdi!$G$2:$G,"Evet"),COUNTIFS(Event_Girdi!$C$2:$C,"&lt;="&amp;B7+3,Event_Girdi!$D$2:$D,"&gt;="&amp;B7+3,Event_Girdi!$G$2:$G,"Evet"),COUNTIFS(Event_Girdi!$C$2:$C,"&lt;="&amp;B7+4,Event_Girdi!$D$2:$D,"&gt;="&amp;B7+4,Event_Girdi!$G$2:$G,"Evet"),COUNTIFS(Event_Girdi!$C$2:$C,"&lt;="&amp;B7+5,Event_Girdi!$D$2:$D,"&gt;="&amp;B7+5,Event_Girdi!$G$2:$G,"Evet"),COUNTIFS(Event_Girdi!$C$2:$C,"&lt;="&amp;B7+6,Event_Girdi!$D$2:$D,"&gt;="&amp;B7+6,Event_Girdi!$G$2:$G,"Evet")))</f>
      </c>
      <c r="G7">
        <f>IF(B7="","",IFERROR(INDEX(SORT(FILTER(Event_Girdi!$A$2:$E,Event_Girdi!$G$2:$G="Evet",Event_Girdi!$C$2:$C&lt;=B7,Event_Girdi!$D$2:$D&gt;=B7),5,TRUE,3,TRUE,1,TRUE),1,1),""))</f>
      </c>
      <c r="H7">
        <f>IF(B7="","",IFERROR(INDEX(SORT(FILTER(Event_Girdi!$A$2:$F,Event_Girdi!$G$2:$G="Evet",Event_Girdi!$F$2:$F="Evet",Event_Girdi!$C$2:$C&lt;=B7,Event_Girdi!$D$2:$D&gt;=B7),3,TRUE,1,TRUE),1,1),G7))</f>
      </c>
      <c r="I7">
        <f>IF(B7="","",IFERROR(TEXTJOIN(" &gt; ",TRUE,INDEX(SORT(FILTER(Event_Girdi!$A$2:$H,Event_Girdi!$G$2:$G="Evet",Event_Girdi!$C$2:$C&lt;=B7,Event_Girdi!$D$2:$D&gt;=B7),8,TRUE,5,TRUE,3,TRUE,1,TRUE),,1)),""))</f>
      </c>
      <c r="J7">
        <f>IF(B7="","",IF(F7&gt;1,"Cakisiyor","Normal"))</f>
      </c>
    </row>
    <row r="8">
      <c r="A8">
        <f>IF(B8="","","W"&amp;(ROW()-1))</f>
      </c>
      <c r="B8" s="1">
        <f>IF(B7="","",IF(B7+7&lt;=MAX(FILTER(Event_Girdi!$D$2:$D,Event_Girdi!$G$2:$G="Evet"))+6,B7+7,""))</f>
      </c>
      <c r="C8" s="1">
        <f>IF(B8="","",B8+6)</f>
      </c>
      <c r="D8">
        <f>IF(B8="","",TEXT(B8,"dd mmm")&amp;" - "&amp;TEXT(C8,"dd mmm"))</f>
      </c>
      <c r="E8">
        <f>IF(B8="","",IFERROR(TEXTJOIN(", ",TRUE,FILTER(Event_Girdi!$A$2:$A,Event_Girdi!$G$2:$G="Evet",Event_Girdi!$C$2:$C&lt;=C8,Event_Girdi!$D$2:$D&gt;=B8)),""))</f>
      </c>
      <c r="F8">
        <f>IF(B8="","",MAX(COUNTIFS(Event_Girdi!$C$2:$C,"&lt;="&amp;B8,Event_Girdi!$D$2:$D,"&gt;="&amp;B8,Event_Girdi!$G$2:$G,"Evet"),COUNTIFS(Event_Girdi!$C$2:$C,"&lt;="&amp;B8+1,Event_Girdi!$D$2:$D,"&gt;="&amp;B8+1,Event_Girdi!$G$2:$G,"Evet"),COUNTIFS(Event_Girdi!$C$2:$C,"&lt;="&amp;B8+2,Event_Girdi!$D$2:$D,"&gt;="&amp;B8+2,Event_Girdi!$G$2:$G,"Evet"),COUNTIFS(Event_Girdi!$C$2:$C,"&lt;="&amp;B8+3,Event_Girdi!$D$2:$D,"&gt;="&amp;B8+3,Event_Girdi!$G$2:$G,"Evet"),COUNTIFS(Event_Girdi!$C$2:$C,"&lt;="&amp;B8+4,Event_Girdi!$D$2:$D,"&gt;="&amp;B8+4,Event_Girdi!$G$2:$G,"Evet"),COUNTIFS(Event_Girdi!$C$2:$C,"&lt;="&amp;B8+5,Event_Girdi!$D$2:$D,"&gt;="&amp;B8+5,Event_Girdi!$G$2:$G,"Evet"),COUNTIFS(Event_Girdi!$C$2:$C,"&lt;="&amp;B8+6,Event_Girdi!$D$2:$D,"&gt;="&amp;B8+6,Event_Girdi!$G$2:$G,"Evet")))</f>
      </c>
      <c r="G8">
        <f>IF(B8="","",IFERROR(INDEX(SORT(FILTER(Event_Girdi!$A$2:$E,Event_Girdi!$G$2:$G="Evet",Event_Girdi!$C$2:$C&lt;=B8,Event_Girdi!$D$2:$D&gt;=B8),5,TRUE,3,TRUE,1,TRUE),1,1),""))</f>
      </c>
      <c r="H8">
        <f>IF(B8="","",IFERROR(INDEX(SORT(FILTER(Event_Girdi!$A$2:$F,Event_Girdi!$G$2:$G="Evet",Event_Girdi!$F$2:$F="Evet",Event_Girdi!$C$2:$C&lt;=B8,Event_Girdi!$D$2:$D&gt;=B8),3,TRUE,1,TRUE),1,1),G8))</f>
      </c>
      <c r="I8">
        <f>IF(B8="","",IFERROR(TEXTJOIN(" &gt; ",TRUE,INDEX(SORT(FILTER(Event_Girdi!$A$2:$H,Event_Girdi!$G$2:$G="Evet",Event_Girdi!$C$2:$C&lt;=B8,Event_Girdi!$D$2:$D&gt;=B8),8,TRUE,5,TRUE,3,TRUE,1,TRUE),,1)),""))</f>
      </c>
      <c r="J8">
        <f>IF(B8="","",IF(F8&gt;1,"Cakisiyor","Normal"))</f>
      </c>
    </row>
    <row r="9">
      <c r="A9">
        <f>IF(B9="","","W"&amp;(ROW()-1))</f>
      </c>
      <c r="B9" s="1">
        <f>IF(B8="","",IF(B8+7&lt;=MAX(FILTER(Event_Girdi!$D$2:$D,Event_Girdi!$G$2:$G="Evet"))+6,B8+7,""))</f>
      </c>
      <c r="C9" s="1">
        <f>IF(B9="","",B9+6)</f>
      </c>
      <c r="D9">
        <f>IF(B9="","",TEXT(B9,"dd mmm")&amp;" - "&amp;TEXT(C9,"dd mmm"))</f>
      </c>
      <c r="E9">
        <f>IF(B9="","",IFERROR(TEXTJOIN(", ",TRUE,FILTER(Event_Girdi!$A$2:$A,Event_Girdi!$G$2:$G="Evet",Event_Girdi!$C$2:$C&lt;=C9,Event_Girdi!$D$2:$D&gt;=B9)),""))</f>
      </c>
      <c r="F9">
        <f>IF(B9="","",MAX(COUNTIFS(Event_Girdi!$C$2:$C,"&lt;="&amp;B9,Event_Girdi!$D$2:$D,"&gt;="&amp;B9,Event_Girdi!$G$2:$G,"Evet"),COUNTIFS(Event_Girdi!$C$2:$C,"&lt;="&amp;B9+1,Event_Girdi!$D$2:$D,"&gt;="&amp;B9+1,Event_Girdi!$G$2:$G,"Evet"),COUNTIFS(Event_Girdi!$C$2:$C,"&lt;="&amp;B9+2,Event_Girdi!$D$2:$D,"&gt;="&amp;B9+2,Event_Girdi!$G$2:$G,"Evet"),COUNTIFS(Event_Girdi!$C$2:$C,"&lt;="&amp;B9+3,Event_Girdi!$D$2:$D,"&gt;="&amp;B9+3,Event_Girdi!$G$2:$G,"Evet"),COUNTIFS(Event_Girdi!$C$2:$C,"&lt;="&amp;B9+4,Event_Girdi!$D$2:$D,"&gt;="&amp;B9+4,Event_Girdi!$G$2:$G,"Evet"),COUNTIFS(Event_Girdi!$C$2:$C,"&lt;="&amp;B9+5,Event_Girdi!$D$2:$D,"&gt;="&amp;B9+5,Event_Girdi!$G$2:$G,"Evet"),COUNTIFS(Event_Girdi!$C$2:$C,"&lt;="&amp;B9+6,Event_Girdi!$D$2:$D,"&gt;="&amp;B9+6,Event_Girdi!$G$2:$G,"Evet")))</f>
      </c>
      <c r="G9">
        <f>IF(B9="","",IFERROR(INDEX(SORT(FILTER(Event_Girdi!$A$2:$E,Event_Girdi!$G$2:$G="Evet",Event_Girdi!$C$2:$C&lt;=B9,Event_Girdi!$D$2:$D&gt;=B9),5,TRUE,3,TRUE,1,TRUE),1,1),""))</f>
      </c>
      <c r="H9">
        <f>IF(B9="","",IFERROR(INDEX(SORT(FILTER(Event_Girdi!$A$2:$F,Event_Girdi!$G$2:$G="Evet",Event_Girdi!$F$2:$F="Evet",Event_Girdi!$C$2:$C&lt;=B9,Event_Girdi!$D$2:$D&gt;=B9),3,TRUE,1,TRUE),1,1),G9))</f>
      </c>
      <c r="I9">
        <f>IF(B9="","",IFERROR(TEXTJOIN(" &gt; ",TRUE,INDEX(SORT(FILTER(Event_Girdi!$A$2:$H,Event_Girdi!$G$2:$G="Evet",Event_Girdi!$C$2:$C&lt;=B9,Event_Girdi!$D$2:$D&gt;=B9),8,TRUE,5,TRUE,3,TRUE,1,TRUE),,1)),""))</f>
      </c>
      <c r="J9">
        <f>IF(B9="","",IF(F9&gt;1,"Cakisiyor","Normal"))</f>
      </c>
    </row>
    <row r="10">
      <c r="A10">
        <f>IF(B10="","","W"&amp;(ROW()-1))</f>
      </c>
      <c r="B10" s="1">
        <f>IF(B9="","",IF(B9+7&lt;=MAX(FILTER(Event_Girdi!$D$2:$D,Event_Girdi!$G$2:$G="Evet"))+6,B9+7,""))</f>
      </c>
      <c r="C10" s="1">
        <f>IF(B10="","",B10+6)</f>
      </c>
      <c r="D10">
        <f>IF(B10="","",TEXT(B10,"dd mmm")&amp;" - "&amp;TEXT(C10,"dd mmm"))</f>
      </c>
      <c r="E10">
        <f>IF(B10="","",IFERROR(TEXTJOIN(", ",TRUE,FILTER(Event_Girdi!$A$2:$A,Event_Girdi!$G$2:$G="Evet",Event_Girdi!$C$2:$C&lt;=C10,Event_Girdi!$D$2:$D&gt;=B10)),""))</f>
      </c>
      <c r="F10">
        <f>IF(B10="","",MAX(COUNTIFS(Event_Girdi!$C$2:$C,"&lt;="&amp;B10,Event_Girdi!$D$2:$D,"&gt;="&amp;B10,Event_Girdi!$G$2:$G,"Evet"),COUNTIFS(Event_Girdi!$C$2:$C,"&lt;="&amp;B10+1,Event_Girdi!$D$2:$D,"&gt;="&amp;B10+1,Event_Girdi!$G$2:$G,"Evet"),COUNTIFS(Event_Girdi!$C$2:$C,"&lt;="&amp;B10+2,Event_Girdi!$D$2:$D,"&gt;="&amp;B10+2,Event_Girdi!$G$2:$G,"Evet"),COUNTIFS(Event_Girdi!$C$2:$C,"&lt;="&amp;B10+3,Event_Girdi!$D$2:$D,"&gt;="&amp;B10+3,Event_Girdi!$G$2:$G,"Evet"),COUNTIFS(Event_Girdi!$C$2:$C,"&lt;="&amp;B10+4,Event_Girdi!$D$2:$D,"&gt;="&amp;B10+4,Event_Girdi!$G$2:$G,"Evet"),COUNTIFS(Event_Girdi!$C$2:$C,"&lt;="&amp;B10+5,Event_Girdi!$D$2:$D,"&gt;="&amp;B10+5,Event_Girdi!$G$2:$G,"Evet"),COUNTIFS(Event_Girdi!$C$2:$C,"&lt;="&amp;B10+6,Event_Girdi!$D$2:$D,"&gt;="&amp;B10+6,Event_Girdi!$G$2:$G,"Evet")))</f>
      </c>
      <c r="G10">
        <f>IF(B10="","",IFERROR(INDEX(SORT(FILTER(Event_Girdi!$A$2:$E,Event_Girdi!$G$2:$G="Evet",Event_Girdi!$C$2:$C&lt;=B10,Event_Girdi!$D$2:$D&gt;=B10),5,TRUE,3,TRUE,1,TRUE),1,1),""))</f>
      </c>
      <c r="H10">
        <f>IF(B10="","",IFERROR(INDEX(SORT(FILTER(Event_Girdi!$A$2:$F,Event_Girdi!$G$2:$G="Evet",Event_Girdi!$F$2:$F="Evet",Event_Girdi!$C$2:$C&lt;=B10,Event_Girdi!$D$2:$D&gt;=B10),3,TRUE,1,TRUE),1,1),G10))</f>
      </c>
      <c r="I10">
        <f>IF(B10="","",IFERROR(TEXTJOIN(" &gt; ",TRUE,INDEX(SORT(FILTER(Event_Girdi!$A$2:$H,Event_Girdi!$G$2:$G="Evet",Event_Girdi!$C$2:$C&lt;=B10,Event_Girdi!$D$2:$D&gt;=B10),8,TRUE,5,TRUE,3,TRUE,1,TRUE),,1)),""))</f>
      </c>
      <c r="J10">
        <f>IF(B10="","",IF(F10&gt;1,"Cakisiyor","Normal"))</f>
      </c>
    </row>
    <row r="11">
      <c r="A11">
        <f>IF(B11="","","W"&amp;(ROW()-1))</f>
      </c>
      <c r="B11" s="1">
        <f>IF(B10="","",IF(B10+7&lt;=MAX(FILTER(Event_Girdi!$D$2:$D,Event_Girdi!$G$2:$G="Evet"))+6,B10+7,""))</f>
      </c>
      <c r="C11" s="1">
        <f>IF(B11="","",B11+6)</f>
      </c>
      <c r="D11">
        <f>IF(B11="","",TEXT(B11,"dd mmm")&amp;" - "&amp;TEXT(C11,"dd mmm"))</f>
      </c>
      <c r="E11">
        <f>IF(B11="","",IFERROR(TEXTJOIN(", ",TRUE,FILTER(Event_Girdi!$A$2:$A,Event_Girdi!$G$2:$G="Evet",Event_Girdi!$C$2:$C&lt;=C11,Event_Girdi!$D$2:$D&gt;=B11)),""))</f>
      </c>
      <c r="F11">
        <f>IF(B11="","",MAX(COUNTIFS(Event_Girdi!$C$2:$C,"&lt;="&amp;B11,Event_Girdi!$D$2:$D,"&gt;="&amp;B11,Event_Girdi!$G$2:$G,"Evet"),COUNTIFS(Event_Girdi!$C$2:$C,"&lt;="&amp;B11+1,Event_Girdi!$D$2:$D,"&gt;="&amp;B11+1,Event_Girdi!$G$2:$G,"Evet"),COUNTIFS(Event_Girdi!$C$2:$C,"&lt;="&amp;B11+2,Event_Girdi!$D$2:$D,"&gt;="&amp;B11+2,Event_Girdi!$G$2:$G,"Evet"),COUNTIFS(Event_Girdi!$C$2:$C,"&lt;="&amp;B11+3,Event_Girdi!$D$2:$D,"&gt;="&amp;B11+3,Event_Girdi!$G$2:$G,"Evet"),COUNTIFS(Event_Girdi!$C$2:$C,"&lt;="&amp;B11+4,Event_Girdi!$D$2:$D,"&gt;="&amp;B11+4,Event_Girdi!$G$2:$G,"Evet"),COUNTIFS(Event_Girdi!$C$2:$C,"&lt;="&amp;B11+5,Event_Girdi!$D$2:$D,"&gt;="&amp;B11+5,Event_Girdi!$G$2:$G,"Evet"),COUNTIFS(Event_Girdi!$C$2:$C,"&lt;="&amp;B11+6,Event_Girdi!$D$2:$D,"&gt;="&amp;B11+6,Event_Girdi!$G$2:$G,"Evet")))</f>
      </c>
      <c r="G11">
        <f>IF(B11="","",IFERROR(INDEX(SORT(FILTER(Event_Girdi!$A$2:$E,Event_Girdi!$G$2:$G="Evet",Event_Girdi!$C$2:$C&lt;=B11,Event_Girdi!$D$2:$D&gt;=B11),5,TRUE,3,TRUE,1,TRUE),1,1),""))</f>
      </c>
      <c r="H11">
        <f>IF(B11="","",IFERROR(INDEX(SORT(FILTER(Event_Girdi!$A$2:$F,Event_Girdi!$G$2:$G="Evet",Event_Girdi!$F$2:$F="Evet",Event_Girdi!$C$2:$C&lt;=B11,Event_Girdi!$D$2:$D&gt;=B11),3,TRUE,1,TRUE),1,1),G11))</f>
      </c>
      <c r="I11">
        <f>IF(B11="","",IFERROR(TEXTJOIN(" &gt; ",TRUE,INDEX(SORT(FILTER(Event_Girdi!$A$2:$H,Event_Girdi!$G$2:$G="Evet",Event_Girdi!$C$2:$C&lt;=B11,Event_Girdi!$D$2:$D&gt;=B11),8,TRUE,5,TRUE,3,TRUE,1,TRUE),,1)),""))</f>
      </c>
      <c r="J11">
        <f>IF(B11="","",IF(F11&gt;1,"Cakisiyor","Normal"))</f>
      </c>
    </row>
    <row r="12">
      <c r="A12">
        <f>IF(B12="","","W"&amp;(ROW()-1))</f>
      </c>
      <c r="B12" s="1">
        <f>IF(B11="","",IF(B11+7&lt;=MAX(FILTER(Event_Girdi!$D$2:$D,Event_Girdi!$G$2:$G="Evet"))+6,B11+7,""))</f>
      </c>
      <c r="C12" s="1">
        <f>IF(B12="","",B12+6)</f>
      </c>
      <c r="D12">
        <f>IF(B12="","",TEXT(B12,"dd mmm")&amp;" - "&amp;TEXT(C12,"dd mmm"))</f>
      </c>
      <c r="E12">
        <f>IF(B12="","",IFERROR(TEXTJOIN(", ",TRUE,FILTER(Event_Girdi!$A$2:$A,Event_Girdi!$G$2:$G="Evet",Event_Girdi!$C$2:$C&lt;=C12,Event_Girdi!$D$2:$D&gt;=B12)),""))</f>
      </c>
      <c r="F12">
        <f>IF(B12="","",MAX(COUNTIFS(Event_Girdi!$C$2:$C,"&lt;="&amp;B12,Event_Girdi!$D$2:$D,"&gt;="&amp;B12,Event_Girdi!$G$2:$G,"Evet"),COUNTIFS(Event_Girdi!$C$2:$C,"&lt;="&amp;B12+1,Event_Girdi!$D$2:$D,"&gt;="&amp;B12+1,Event_Girdi!$G$2:$G,"Evet"),COUNTIFS(Event_Girdi!$C$2:$C,"&lt;="&amp;B12+2,Event_Girdi!$D$2:$D,"&gt;="&amp;B12+2,Event_Girdi!$G$2:$G,"Evet"),COUNTIFS(Event_Girdi!$C$2:$C,"&lt;="&amp;B12+3,Event_Girdi!$D$2:$D,"&gt;="&amp;B12+3,Event_Girdi!$G$2:$G,"Evet"),COUNTIFS(Event_Girdi!$C$2:$C,"&lt;="&amp;B12+4,Event_Girdi!$D$2:$D,"&gt;="&amp;B12+4,Event_Girdi!$G$2:$G,"Evet"),COUNTIFS(Event_Girdi!$C$2:$C,"&lt;="&amp;B12+5,Event_Girdi!$D$2:$D,"&gt;="&amp;B12+5,Event_Girdi!$G$2:$G,"Evet"),COUNTIFS(Event_Girdi!$C$2:$C,"&lt;="&amp;B12+6,Event_Girdi!$D$2:$D,"&gt;="&amp;B12+6,Event_Girdi!$G$2:$G,"Evet")))</f>
      </c>
      <c r="G12">
        <f>IF(B12="","",IFERROR(INDEX(SORT(FILTER(Event_Girdi!$A$2:$E,Event_Girdi!$G$2:$G="Evet",Event_Girdi!$C$2:$C&lt;=B12,Event_Girdi!$D$2:$D&gt;=B12),5,TRUE,3,TRUE,1,TRUE),1,1),""))</f>
      </c>
      <c r="H12">
        <f>IF(B12="","",IFERROR(INDEX(SORT(FILTER(Event_Girdi!$A$2:$F,Event_Girdi!$G$2:$G="Evet",Event_Girdi!$F$2:$F="Evet",Event_Girdi!$C$2:$C&lt;=B12,Event_Girdi!$D$2:$D&gt;=B12),3,TRUE,1,TRUE),1,1),G12))</f>
      </c>
      <c r="I12">
        <f>IF(B12="","",IFERROR(TEXTJOIN(" &gt; ",TRUE,INDEX(SORT(FILTER(Event_Girdi!$A$2:$H,Event_Girdi!$G$2:$G="Evet",Event_Girdi!$C$2:$C&lt;=B12,Event_Girdi!$D$2:$D&gt;=B12),8,TRUE,5,TRUE,3,TRUE,1,TRUE),,1)),""))</f>
      </c>
      <c r="J12">
        <f>IF(B12="","",IF(F12&gt;1,"Cakisiyor","Normal"))</f>
      </c>
    </row>
    <row r="13">
      <c r="A13">
        <f>IF(B13="","","W"&amp;(ROW()-1))</f>
      </c>
      <c r="B13" s="1">
        <f>IF(B12="","",IF(B12+7&lt;=MAX(FILTER(Event_Girdi!$D$2:$D,Event_Girdi!$G$2:$G="Evet"))+6,B12+7,""))</f>
      </c>
      <c r="C13" s="1">
        <f>IF(B13="","",B13+6)</f>
      </c>
      <c r="D13">
        <f>IF(B13="","",TEXT(B13,"dd mmm")&amp;" - "&amp;TEXT(C13,"dd mmm"))</f>
      </c>
      <c r="E13">
        <f>IF(B13="","",IFERROR(TEXTJOIN(", ",TRUE,FILTER(Event_Girdi!$A$2:$A,Event_Girdi!$G$2:$G="Evet",Event_Girdi!$C$2:$C&lt;=C13,Event_Girdi!$D$2:$D&gt;=B13)),""))</f>
      </c>
      <c r="F13">
        <f>IF(B13="","",MAX(COUNTIFS(Event_Girdi!$C$2:$C,"&lt;="&amp;B13,Event_Girdi!$D$2:$D,"&gt;="&amp;B13,Event_Girdi!$G$2:$G,"Evet"),COUNTIFS(Event_Girdi!$C$2:$C,"&lt;="&amp;B13+1,Event_Girdi!$D$2:$D,"&gt;="&amp;B13+1,Event_Girdi!$G$2:$G,"Evet"),COUNTIFS(Event_Girdi!$C$2:$C,"&lt;="&amp;B13+2,Event_Girdi!$D$2:$D,"&gt;="&amp;B13+2,Event_Girdi!$G$2:$G,"Evet"),COUNTIFS(Event_Girdi!$C$2:$C,"&lt;="&amp;B13+3,Event_Girdi!$D$2:$D,"&gt;="&amp;B13+3,Event_Girdi!$G$2:$G,"Evet"),COUNTIFS(Event_Girdi!$C$2:$C,"&lt;="&amp;B13+4,Event_Girdi!$D$2:$D,"&gt;="&amp;B13+4,Event_Girdi!$G$2:$G,"Evet"),COUNTIFS(Event_Girdi!$C$2:$C,"&lt;="&amp;B13+5,Event_Girdi!$D$2:$D,"&gt;="&amp;B13+5,Event_Girdi!$G$2:$G,"Evet"),COUNTIFS(Event_Girdi!$C$2:$C,"&lt;="&amp;B13+6,Event_Girdi!$D$2:$D,"&gt;="&amp;B13+6,Event_Girdi!$G$2:$G,"Evet")))</f>
      </c>
      <c r="G13">
        <f>IF(B13="","",IFERROR(INDEX(SORT(FILTER(Event_Girdi!$A$2:$E,Event_Girdi!$G$2:$G="Evet",Event_Girdi!$C$2:$C&lt;=B13,Event_Girdi!$D$2:$D&gt;=B13),5,TRUE,3,TRUE,1,TRUE),1,1),""))</f>
      </c>
      <c r="H13">
        <f>IF(B13="","",IFERROR(INDEX(SORT(FILTER(Event_Girdi!$A$2:$F,Event_Girdi!$G$2:$G="Evet",Event_Girdi!$F$2:$F="Evet",Event_Girdi!$C$2:$C&lt;=B13,Event_Girdi!$D$2:$D&gt;=B13),3,TRUE,1,TRUE),1,1),G13))</f>
      </c>
      <c r="I13">
        <f>IF(B13="","",IFERROR(TEXTJOIN(" &gt; ",TRUE,INDEX(SORT(FILTER(Event_Girdi!$A$2:$H,Event_Girdi!$G$2:$G="Evet",Event_Girdi!$C$2:$C&lt;=B13,Event_Girdi!$D$2:$D&gt;=B13),8,TRUE,5,TRUE,3,TRUE,1,TRUE),,1)),""))</f>
      </c>
      <c r="J13">
        <f>IF(B13="","",IF(F13&gt;1,"Cakisiyor","Normal"))</f>
      </c>
    </row>
    <row r="14">
      <c r="A14">
        <f>IF(B14="","","W"&amp;(ROW()-1))</f>
      </c>
      <c r="B14" s="1">
        <f>IF(B13="","",IF(B13+7&lt;=MAX(FILTER(Event_Girdi!$D$2:$D,Event_Girdi!$G$2:$G="Evet"))+6,B13+7,""))</f>
      </c>
      <c r="C14" s="1">
        <f>IF(B14="","",B14+6)</f>
      </c>
      <c r="D14">
        <f>IF(B14="","",TEXT(B14,"dd mmm")&amp;" - "&amp;TEXT(C14,"dd mmm"))</f>
      </c>
      <c r="E14">
        <f>IF(B14="","",IFERROR(TEXTJOIN(", ",TRUE,FILTER(Event_Girdi!$A$2:$A,Event_Girdi!$G$2:$G="Evet",Event_Girdi!$C$2:$C&lt;=C14,Event_Girdi!$D$2:$D&gt;=B14)),""))</f>
      </c>
      <c r="F14">
        <f>IF(B14="","",MAX(COUNTIFS(Event_Girdi!$C$2:$C,"&lt;="&amp;B14,Event_Girdi!$D$2:$D,"&gt;="&amp;B14,Event_Girdi!$G$2:$G,"Evet"),COUNTIFS(Event_Girdi!$C$2:$C,"&lt;="&amp;B14+1,Event_Girdi!$D$2:$D,"&gt;="&amp;B14+1,Event_Girdi!$G$2:$G,"Evet"),COUNTIFS(Event_Girdi!$C$2:$C,"&lt;="&amp;B14+2,Event_Girdi!$D$2:$D,"&gt;="&amp;B14+2,Event_Girdi!$G$2:$G,"Evet"),COUNTIFS(Event_Girdi!$C$2:$C,"&lt;="&amp;B14+3,Event_Girdi!$D$2:$D,"&gt;="&amp;B14+3,Event_Girdi!$G$2:$G,"Evet"),COUNTIFS(Event_Girdi!$C$2:$C,"&lt;="&amp;B14+4,Event_Girdi!$D$2:$D,"&gt;="&amp;B14+4,Event_Girdi!$G$2:$G,"Evet"),COUNTIFS(Event_Girdi!$C$2:$C,"&lt;="&amp;B14+5,Event_Girdi!$D$2:$D,"&gt;="&amp;B14+5,Event_Girdi!$G$2:$G,"Evet"),COUNTIFS(Event_Girdi!$C$2:$C,"&lt;="&amp;B14+6,Event_Girdi!$D$2:$D,"&gt;="&amp;B14+6,Event_Girdi!$G$2:$G,"Evet")))</f>
      </c>
      <c r="G14">
        <f>IF(B14="","",IFERROR(INDEX(SORT(FILTER(Event_Girdi!$A$2:$E,Event_Girdi!$G$2:$G="Evet",Event_Girdi!$C$2:$C&lt;=B14,Event_Girdi!$D$2:$D&gt;=B14),5,TRUE,3,TRUE,1,TRUE),1,1),""))</f>
      </c>
      <c r="H14">
        <f>IF(B14="","",IFERROR(INDEX(SORT(FILTER(Event_Girdi!$A$2:$F,Event_Girdi!$G$2:$G="Evet",Event_Girdi!$F$2:$F="Evet",Event_Girdi!$C$2:$C&lt;=B14,Event_Girdi!$D$2:$D&gt;=B14),3,TRUE,1,TRUE),1,1),G14))</f>
      </c>
      <c r="I14">
        <f>IF(B14="","",IFERROR(TEXTJOIN(" &gt; ",TRUE,INDEX(SORT(FILTER(Event_Girdi!$A$2:$H,Event_Girdi!$G$2:$G="Evet",Event_Girdi!$C$2:$C&lt;=B14,Event_Girdi!$D$2:$D&gt;=B14),8,TRUE,5,TRUE,3,TRUE,1,TRUE),,1)),""))</f>
      </c>
      <c r="J14">
        <f>IF(B14="","",IF(F14&gt;1,"Cakisiyor","Normal"))</f>
      </c>
    </row>
    <row r="15">
      <c r="A15">
        <f>IF(B15="","","W"&amp;(ROW()-1))</f>
      </c>
      <c r="B15" s="1">
        <f>IF(B14="","",IF(B14+7&lt;=MAX(FILTER(Event_Girdi!$D$2:$D,Event_Girdi!$G$2:$G="Evet"))+6,B14+7,""))</f>
      </c>
      <c r="C15" s="1">
        <f>IF(B15="","",B15+6)</f>
      </c>
      <c r="D15">
        <f>IF(B15="","",TEXT(B15,"dd mmm")&amp;" - "&amp;TEXT(C15,"dd mmm"))</f>
      </c>
      <c r="E15">
        <f>IF(B15="","",IFERROR(TEXTJOIN(", ",TRUE,FILTER(Event_Girdi!$A$2:$A,Event_Girdi!$G$2:$G="Evet",Event_Girdi!$C$2:$C&lt;=C15,Event_Girdi!$D$2:$D&gt;=B15)),""))</f>
      </c>
      <c r="F15">
        <f>IF(B15="","",MAX(COUNTIFS(Event_Girdi!$C$2:$C,"&lt;="&amp;B15,Event_Girdi!$D$2:$D,"&gt;="&amp;B15,Event_Girdi!$G$2:$G,"Evet"),COUNTIFS(Event_Girdi!$C$2:$C,"&lt;="&amp;B15+1,Event_Girdi!$D$2:$D,"&gt;="&amp;B15+1,Event_Girdi!$G$2:$G,"Evet"),COUNTIFS(Event_Girdi!$C$2:$C,"&lt;="&amp;B15+2,Event_Girdi!$D$2:$D,"&gt;="&amp;B15+2,Event_Girdi!$G$2:$G,"Evet"),COUNTIFS(Event_Girdi!$C$2:$C,"&lt;="&amp;B15+3,Event_Girdi!$D$2:$D,"&gt;="&amp;B15+3,Event_Girdi!$G$2:$G,"Evet"),COUNTIFS(Event_Girdi!$C$2:$C,"&lt;="&amp;B15+4,Event_Girdi!$D$2:$D,"&gt;="&amp;B15+4,Event_Girdi!$G$2:$G,"Evet"),COUNTIFS(Event_Girdi!$C$2:$C,"&lt;="&amp;B15+5,Event_Girdi!$D$2:$D,"&gt;="&amp;B15+5,Event_Girdi!$G$2:$G,"Evet"),COUNTIFS(Event_Girdi!$C$2:$C,"&lt;="&amp;B15+6,Event_Girdi!$D$2:$D,"&gt;="&amp;B15+6,Event_Girdi!$G$2:$G,"Evet")))</f>
      </c>
      <c r="G15">
        <f>IF(B15="","",IFERROR(INDEX(SORT(FILTER(Event_Girdi!$A$2:$E,Event_Girdi!$G$2:$G="Evet",Event_Girdi!$C$2:$C&lt;=B15,Event_Girdi!$D$2:$D&gt;=B15),5,TRUE,3,TRUE,1,TRUE),1,1),""))</f>
      </c>
      <c r="H15">
        <f>IF(B15="","",IFERROR(INDEX(SORT(FILTER(Event_Girdi!$A$2:$F,Event_Girdi!$G$2:$G="Evet",Event_Girdi!$F$2:$F="Evet",Event_Girdi!$C$2:$C&lt;=B15,Event_Girdi!$D$2:$D&gt;=B15),3,TRUE,1,TRUE),1,1),G15))</f>
      </c>
      <c r="I15">
        <f>IF(B15="","",IFERROR(TEXTJOIN(" &gt; ",TRUE,INDEX(SORT(FILTER(Event_Girdi!$A$2:$H,Event_Girdi!$G$2:$G="Evet",Event_Girdi!$C$2:$C&lt;=B15,Event_Girdi!$D$2:$D&gt;=B15),8,TRUE,5,TRUE,3,TRUE,1,TRUE),,1)),""))</f>
      </c>
      <c r="J15">
        <f>IF(B15="","",IF(F15&gt;1,"Cakisiyor","Normal"))</f>
      </c>
    </row>
    <row r="16">
      <c r="A16">
        <f>IF(B16="","","W"&amp;(ROW()-1))</f>
      </c>
      <c r="B16" s="1">
        <f>IF(B15="","",IF(B15+7&lt;=MAX(FILTER(Event_Girdi!$D$2:$D,Event_Girdi!$G$2:$G="Evet"))+6,B15+7,""))</f>
      </c>
      <c r="C16" s="1">
        <f>IF(B16="","",B16+6)</f>
      </c>
      <c r="D16">
        <f>IF(B16="","",TEXT(B16,"dd mmm")&amp;" - "&amp;TEXT(C16,"dd mmm"))</f>
      </c>
      <c r="E16">
        <f>IF(B16="","",IFERROR(TEXTJOIN(", ",TRUE,FILTER(Event_Girdi!$A$2:$A,Event_Girdi!$G$2:$G="Evet",Event_Girdi!$C$2:$C&lt;=C16,Event_Girdi!$D$2:$D&gt;=B16)),""))</f>
      </c>
      <c r="F16">
        <f>IF(B16="","",MAX(COUNTIFS(Event_Girdi!$C$2:$C,"&lt;="&amp;B16,Event_Girdi!$D$2:$D,"&gt;="&amp;B16,Event_Girdi!$G$2:$G,"Evet"),COUNTIFS(Event_Girdi!$C$2:$C,"&lt;="&amp;B16+1,Event_Girdi!$D$2:$D,"&gt;="&amp;B16+1,Event_Girdi!$G$2:$G,"Evet"),COUNTIFS(Event_Girdi!$C$2:$C,"&lt;="&amp;B16+2,Event_Girdi!$D$2:$D,"&gt;="&amp;B16+2,Event_Girdi!$G$2:$G,"Evet"),COUNTIFS(Event_Girdi!$C$2:$C,"&lt;="&amp;B16+3,Event_Girdi!$D$2:$D,"&gt;="&amp;B16+3,Event_Girdi!$G$2:$G,"Evet"),COUNTIFS(Event_Girdi!$C$2:$C,"&lt;="&amp;B16+4,Event_Girdi!$D$2:$D,"&gt;="&amp;B16+4,Event_Girdi!$G$2:$G,"Evet"),COUNTIFS(Event_Girdi!$C$2:$C,"&lt;="&amp;B16+5,Event_Girdi!$D$2:$D,"&gt;="&amp;B16+5,Event_Girdi!$G$2:$G,"Evet"),COUNTIFS(Event_Girdi!$C$2:$C,"&lt;="&amp;B16+6,Event_Girdi!$D$2:$D,"&gt;="&amp;B16+6,Event_Girdi!$G$2:$G,"Evet")))</f>
      </c>
      <c r="G16">
        <f>IF(B16="","",IFERROR(INDEX(SORT(FILTER(Event_Girdi!$A$2:$E,Event_Girdi!$G$2:$G="Evet",Event_Girdi!$C$2:$C&lt;=B16,Event_Girdi!$D$2:$D&gt;=B16),5,TRUE,3,TRUE,1,TRUE),1,1),""))</f>
      </c>
      <c r="H16">
        <f>IF(B16="","",IFERROR(INDEX(SORT(FILTER(Event_Girdi!$A$2:$F,Event_Girdi!$G$2:$G="Evet",Event_Girdi!$F$2:$F="Evet",Event_Girdi!$C$2:$C&lt;=B16,Event_Girdi!$D$2:$D&gt;=B16),3,TRUE,1,TRUE),1,1),G16))</f>
      </c>
      <c r="I16">
        <f>IF(B16="","",IFERROR(TEXTJOIN(" &gt; ",TRUE,INDEX(SORT(FILTER(Event_Girdi!$A$2:$H,Event_Girdi!$G$2:$G="Evet",Event_Girdi!$C$2:$C&lt;=B16,Event_Girdi!$D$2:$D&gt;=B16),8,TRUE,5,TRUE,3,TRUE,1,TRUE),,1)),""))</f>
      </c>
      <c r="J16">
        <f>IF(B16="","",IF(F16&gt;1,"Cakisiyor","Normal"))</f>
      </c>
    </row>
    <row r="17">
      <c r="A17">
        <f>IF(B17="","","W"&amp;(ROW()-1))</f>
      </c>
      <c r="B17" s="1">
        <f>IF(B16="","",IF(B16+7&lt;=MAX(FILTER(Event_Girdi!$D$2:$D,Event_Girdi!$G$2:$G="Evet"))+6,B16+7,""))</f>
      </c>
      <c r="C17" s="1">
        <f>IF(B17="","",B17+6)</f>
      </c>
      <c r="D17">
        <f>IF(B17="","",TEXT(B17,"dd mmm")&amp;" - "&amp;TEXT(C17,"dd mmm"))</f>
      </c>
      <c r="E17">
        <f>IF(B17="","",IFERROR(TEXTJOIN(", ",TRUE,FILTER(Event_Girdi!$A$2:$A,Event_Girdi!$G$2:$G="Evet",Event_Girdi!$C$2:$C&lt;=C17,Event_Girdi!$D$2:$D&gt;=B17)),""))</f>
      </c>
      <c r="F17">
        <f>IF(B17="","",MAX(COUNTIFS(Event_Girdi!$C$2:$C,"&lt;="&amp;B17,Event_Girdi!$D$2:$D,"&gt;="&amp;B17,Event_Girdi!$G$2:$G,"Evet"),COUNTIFS(Event_Girdi!$C$2:$C,"&lt;="&amp;B17+1,Event_Girdi!$D$2:$D,"&gt;="&amp;B17+1,Event_Girdi!$G$2:$G,"Evet"),COUNTIFS(Event_Girdi!$C$2:$C,"&lt;="&amp;B17+2,Event_Girdi!$D$2:$D,"&gt;="&amp;B17+2,Event_Girdi!$G$2:$G,"Evet"),COUNTIFS(Event_Girdi!$C$2:$C,"&lt;="&amp;B17+3,Event_Girdi!$D$2:$D,"&gt;="&amp;B17+3,Event_Girdi!$G$2:$G,"Evet"),COUNTIFS(Event_Girdi!$C$2:$C,"&lt;="&amp;B17+4,Event_Girdi!$D$2:$D,"&gt;="&amp;B17+4,Event_Girdi!$G$2:$G,"Evet"),COUNTIFS(Event_Girdi!$C$2:$C,"&lt;="&amp;B17+5,Event_Girdi!$D$2:$D,"&gt;="&amp;B17+5,Event_Girdi!$G$2:$G,"Evet"),COUNTIFS(Event_Girdi!$C$2:$C,"&lt;="&amp;B17+6,Event_Girdi!$D$2:$D,"&gt;="&amp;B17+6,Event_Girdi!$G$2:$G,"Evet")))</f>
      </c>
      <c r="G17">
        <f>IF(B17="","",IFERROR(INDEX(SORT(FILTER(Event_Girdi!$A$2:$E,Event_Girdi!$G$2:$G="Evet",Event_Girdi!$C$2:$C&lt;=B17,Event_Girdi!$D$2:$D&gt;=B17),5,TRUE,3,TRUE,1,TRUE),1,1),""))</f>
      </c>
      <c r="H17">
        <f>IF(B17="","",IFERROR(INDEX(SORT(FILTER(Event_Girdi!$A$2:$F,Event_Girdi!$G$2:$G="Evet",Event_Girdi!$F$2:$F="Evet",Event_Girdi!$C$2:$C&lt;=B17,Event_Girdi!$D$2:$D&gt;=B17),3,TRUE,1,TRUE),1,1),G17))</f>
      </c>
      <c r="I17">
        <f>IF(B17="","",IFERROR(TEXTJOIN(" &gt; ",TRUE,INDEX(SORT(FILTER(Event_Girdi!$A$2:$H,Event_Girdi!$G$2:$G="Evet",Event_Girdi!$C$2:$C&lt;=B17,Event_Girdi!$D$2:$D&gt;=B17),8,TRUE,5,TRUE,3,TRUE,1,TRUE),,1)),""))</f>
      </c>
      <c r="J17">
        <f>IF(B17="","",IF(F17&gt;1,"Cakisiyor","Normal"))</f>
      </c>
    </row>
    <row r="18">
      <c r="A18">
        <f>IF(B18="","","W"&amp;(ROW()-1))</f>
      </c>
      <c r="B18" s="1">
        <f>IF(B17="","",IF(B17+7&lt;=MAX(FILTER(Event_Girdi!$D$2:$D,Event_Girdi!$G$2:$G="Evet"))+6,B17+7,""))</f>
      </c>
      <c r="C18" s="1">
        <f>IF(B18="","",B18+6)</f>
      </c>
      <c r="D18">
        <f>IF(B18="","",TEXT(B18,"dd mmm")&amp;" - "&amp;TEXT(C18,"dd mmm"))</f>
      </c>
      <c r="E18">
        <f>IF(B18="","",IFERROR(TEXTJOIN(", ",TRUE,FILTER(Event_Girdi!$A$2:$A,Event_Girdi!$G$2:$G="Evet",Event_Girdi!$C$2:$C&lt;=C18,Event_Girdi!$D$2:$D&gt;=B18)),""))</f>
      </c>
      <c r="F18">
        <f>IF(B18="","",MAX(COUNTIFS(Event_Girdi!$C$2:$C,"&lt;="&amp;B18,Event_Girdi!$D$2:$D,"&gt;="&amp;B18,Event_Girdi!$G$2:$G,"Evet"),COUNTIFS(Event_Girdi!$C$2:$C,"&lt;="&amp;B18+1,Event_Girdi!$D$2:$D,"&gt;="&amp;B18+1,Event_Girdi!$G$2:$G,"Evet"),COUNTIFS(Event_Girdi!$C$2:$C,"&lt;="&amp;B18+2,Event_Girdi!$D$2:$D,"&gt;="&amp;B18+2,Event_Girdi!$G$2:$G,"Evet"),COUNTIFS(Event_Girdi!$C$2:$C,"&lt;="&amp;B18+3,Event_Girdi!$D$2:$D,"&gt;="&amp;B18+3,Event_Girdi!$G$2:$G,"Evet"),COUNTIFS(Event_Girdi!$C$2:$C,"&lt;="&amp;B18+4,Event_Girdi!$D$2:$D,"&gt;="&amp;B18+4,Event_Girdi!$G$2:$G,"Evet"),COUNTIFS(Event_Girdi!$C$2:$C,"&lt;="&amp;B18+5,Event_Girdi!$D$2:$D,"&gt;="&amp;B18+5,Event_Girdi!$G$2:$G,"Evet"),COUNTIFS(Event_Girdi!$C$2:$C,"&lt;="&amp;B18+6,Event_Girdi!$D$2:$D,"&gt;="&amp;B18+6,Event_Girdi!$G$2:$G,"Evet")))</f>
      </c>
      <c r="G18">
        <f>IF(B18="","",IFERROR(INDEX(SORT(FILTER(Event_Girdi!$A$2:$E,Event_Girdi!$G$2:$G="Evet",Event_Girdi!$C$2:$C&lt;=B18,Event_Girdi!$D$2:$D&gt;=B18),5,TRUE,3,TRUE,1,TRUE),1,1),""))</f>
      </c>
      <c r="H18">
        <f>IF(B18="","",IFERROR(INDEX(SORT(FILTER(Event_Girdi!$A$2:$F,Event_Girdi!$G$2:$G="Evet",Event_Girdi!$F$2:$F="Evet",Event_Girdi!$C$2:$C&lt;=B18,Event_Girdi!$D$2:$D&gt;=B18),3,TRUE,1,TRUE),1,1),G18))</f>
      </c>
      <c r="I18">
        <f>IF(B18="","",IFERROR(TEXTJOIN(" &gt; ",TRUE,INDEX(SORT(FILTER(Event_Girdi!$A$2:$H,Event_Girdi!$G$2:$G="Evet",Event_Girdi!$C$2:$C&lt;=B18,Event_Girdi!$D$2:$D&gt;=B18),8,TRUE,5,TRUE,3,TRUE,1,TRUE),,1)),""))</f>
      </c>
      <c r="J18">
        <f>IF(B18="","",IF(F18&gt;1,"Cakisiyor","Normal"))</f>
      </c>
    </row>
    <row r="19">
      <c r="A19">
        <f>IF(B19="","","W"&amp;(ROW()-1))</f>
      </c>
      <c r="B19" s="1">
        <f>IF(B18="","",IF(B18+7&lt;=MAX(FILTER(Event_Girdi!$D$2:$D,Event_Girdi!$G$2:$G="Evet"))+6,B18+7,""))</f>
      </c>
      <c r="C19" s="1">
        <f>IF(B19="","",B19+6)</f>
      </c>
      <c r="D19">
        <f>IF(B19="","",TEXT(B19,"dd mmm")&amp;" - "&amp;TEXT(C19,"dd mmm"))</f>
      </c>
      <c r="E19">
        <f>IF(B19="","",IFERROR(TEXTJOIN(", ",TRUE,FILTER(Event_Girdi!$A$2:$A,Event_Girdi!$G$2:$G="Evet",Event_Girdi!$C$2:$C&lt;=C19,Event_Girdi!$D$2:$D&gt;=B19)),""))</f>
      </c>
      <c r="F19">
        <f>IF(B19="","",MAX(COUNTIFS(Event_Girdi!$C$2:$C,"&lt;="&amp;B19,Event_Girdi!$D$2:$D,"&gt;="&amp;B19,Event_Girdi!$G$2:$G,"Evet"),COUNTIFS(Event_Girdi!$C$2:$C,"&lt;="&amp;B19+1,Event_Girdi!$D$2:$D,"&gt;="&amp;B19+1,Event_Girdi!$G$2:$G,"Evet"),COUNTIFS(Event_Girdi!$C$2:$C,"&lt;="&amp;B19+2,Event_Girdi!$D$2:$D,"&gt;="&amp;B19+2,Event_Girdi!$G$2:$G,"Evet"),COUNTIFS(Event_Girdi!$C$2:$C,"&lt;="&amp;B19+3,Event_Girdi!$D$2:$D,"&gt;="&amp;B19+3,Event_Girdi!$G$2:$G,"Evet"),COUNTIFS(Event_Girdi!$C$2:$C,"&lt;="&amp;B19+4,Event_Girdi!$D$2:$D,"&gt;="&amp;B19+4,Event_Girdi!$G$2:$G,"Evet"),COUNTIFS(Event_Girdi!$C$2:$C,"&lt;="&amp;B19+5,Event_Girdi!$D$2:$D,"&gt;="&amp;B19+5,Event_Girdi!$G$2:$G,"Evet"),COUNTIFS(Event_Girdi!$C$2:$C,"&lt;="&amp;B19+6,Event_Girdi!$D$2:$D,"&gt;="&amp;B19+6,Event_Girdi!$G$2:$G,"Evet")))</f>
      </c>
      <c r="G19">
        <f>IF(B19="","",IFERROR(INDEX(SORT(FILTER(Event_Girdi!$A$2:$E,Event_Girdi!$G$2:$G="Evet",Event_Girdi!$C$2:$C&lt;=B19,Event_Girdi!$D$2:$D&gt;=B19),5,TRUE,3,TRUE,1,TRUE),1,1),""))</f>
      </c>
      <c r="H19">
        <f>IF(B19="","",IFERROR(INDEX(SORT(FILTER(Event_Girdi!$A$2:$F,Event_Girdi!$G$2:$G="Evet",Event_Girdi!$F$2:$F="Evet",Event_Girdi!$C$2:$C&lt;=B19,Event_Girdi!$D$2:$D&gt;=B19),3,TRUE,1,TRUE),1,1),G19))</f>
      </c>
      <c r="I19">
        <f>IF(B19="","",IFERROR(TEXTJOIN(" &gt; ",TRUE,INDEX(SORT(FILTER(Event_Girdi!$A$2:$H,Event_Girdi!$G$2:$G="Evet",Event_Girdi!$C$2:$C&lt;=B19,Event_Girdi!$D$2:$D&gt;=B19),8,TRUE,5,TRUE,3,TRUE,1,TRUE),,1)),""))</f>
      </c>
      <c r="J19">
        <f>IF(B19="","",IF(F19&gt;1,"Cakisiyor","Normal"))</f>
      </c>
    </row>
    <row r="20">
      <c r="A20">
        <f>IF(B20="","","W"&amp;(ROW()-1))</f>
      </c>
      <c r="B20" s="1">
        <f>IF(B19="","",IF(B19+7&lt;=MAX(FILTER(Event_Girdi!$D$2:$D,Event_Girdi!$G$2:$G="Evet"))+6,B19+7,""))</f>
      </c>
      <c r="C20" s="1">
        <f>IF(B20="","",B20+6)</f>
      </c>
      <c r="D20">
        <f>IF(B20="","",TEXT(B20,"dd mmm")&amp;" - "&amp;TEXT(C20,"dd mmm"))</f>
      </c>
      <c r="E20">
        <f>IF(B20="","",IFERROR(TEXTJOIN(", ",TRUE,FILTER(Event_Girdi!$A$2:$A,Event_Girdi!$G$2:$G="Evet",Event_Girdi!$C$2:$C&lt;=C20,Event_Girdi!$D$2:$D&gt;=B20)),""))</f>
      </c>
      <c r="F20">
        <f>IF(B20="","",MAX(COUNTIFS(Event_Girdi!$C$2:$C,"&lt;="&amp;B20,Event_Girdi!$D$2:$D,"&gt;="&amp;B20,Event_Girdi!$G$2:$G,"Evet"),COUNTIFS(Event_Girdi!$C$2:$C,"&lt;="&amp;B20+1,Event_Girdi!$D$2:$D,"&gt;="&amp;B20+1,Event_Girdi!$G$2:$G,"Evet"),COUNTIFS(Event_Girdi!$C$2:$C,"&lt;="&amp;B20+2,Event_Girdi!$D$2:$D,"&gt;="&amp;B20+2,Event_Girdi!$G$2:$G,"Evet"),COUNTIFS(Event_Girdi!$C$2:$C,"&lt;="&amp;B20+3,Event_Girdi!$D$2:$D,"&gt;="&amp;B20+3,Event_Girdi!$G$2:$G,"Evet"),COUNTIFS(Event_Girdi!$C$2:$C,"&lt;="&amp;B20+4,Event_Girdi!$D$2:$D,"&gt;="&amp;B20+4,Event_Girdi!$G$2:$G,"Evet"),COUNTIFS(Event_Girdi!$C$2:$C,"&lt;="&amp;B20+5,Event_Girdi!$D$2:$D,"&gt;="&amp;B20+5,Event_Girdi!$G$2:$G,"Evet"),COUNTIFS(Event_Girdi!$C$2:$C,"&lt;="&amp;B20+6,Event_Girdi!$D$2:$D,"&gt;="&amp;B20+6,Event_Girdi!$G$2:$G,"Evet")))</f>
      </c>
      <c r="G20">
        <f>IF(B20="","",IFERROR(INDEX(SORT(FILTER(Event_Girdi!$A$2:$E,Event_Girdi!$G$2:$G="Evet",Event_Girdi!$C$2:$C&lt;=B20,Event_Girdi!$D$2:$D&gt;=B20),5,TRUE,3,TRUE,1,TRUE),1,1),""))</f>
      </c>
      <c r="H20">
        <f>IF(B20="","",IFERROR(INDEX(SORT(FILTER(Event_Girdi!$A$2:$F,Event_Girdi!$G$2:$G="Evet",Event_Girdi!$F$2:$F="Evet",Event_Girdi!$C$2:$C&lt;=B20,Event_Girdi!$D$2:$D&gt;=B20),3,TRUE,1,TRUE),1,1),G20))</f>
      </c>
      <c r="I20">
        <f>IF(B20="","",IFERROR(TEXTJOIN(" &gt; ",TRUE,INDEX(SORT(FILTER(Event_Girdi!$A$2:$H,Event_Girdi!$G$2:$G="Evet",Event_Girdi!$C$2:$C&lt;=B20,Event_Girdi!$D$2:$D&gt;=B20),8,TRUE,5,TRUE,3,TRUE,1,TRUE),,1)),""))</f>
      </c>
      <c r="J20">
        <f>IF(B20="","",IF(F20&gt;1,"Cakisiyor","Normal"))</f>
      </c>
    </row>
    <row r="21">
      <c r="A21">
        <f>IF(B21="","","W"&amp;(ROW()-1))</f>
      </c>
      <c r="B21" s="1">
        <f>IF(B20="","",IF(B20+7&lt;=MAX(FILTER(Event_Girdi!$D$2:$D,Event_Girdi!$G$2:$G="Evet"))+6,B20+7,""))</f>
      </c>
      <c r="C21" s="1">
        <f>IF(B21="","",B21+6)</f>
      </c>
      <c r="D21">
        <f>IF(B21="","",TEXT(B21,"dd mmm")&amp;" - "&amp;TEXT(C21,"dd mmm"))</f>
      </c>
      <c r="E21">
        <f>IF(B21="","",IFERROR(TEXTJOIN(", ",TRUE,FILTER(Event_Girdi!$A$2:$A,Event_Girdi!$G$2:$G="Evet",Event_Girdi!$C$2:$C&lt;=C21,Event_Girdi!$D$2:$D&gt;=B21)),""))</f>
      </c>
      <c r="F21">
        <f>IF(B21="","",MAX(COUNTIFS(Event_Girdi!$C$2:$C,"&lt;="&amp;B21,Event_Girdi!$D$2:$D,"&gt;="&amp;B21,Event_Girdi!$G$2:$G,"Evet"),COUNTIFS(Event_Girdi!$C$2:$C,"&lt;="&amp;B21+1,Event_Girdi!$D$2:$D,"&gt;="&amp;B21+1,Event_Girdi!$G$2:$G,"Evet"),COUNTIFS(Event_Girdi!$C$2:$C,"&lt;="&amp;B21+2,Event_Girdi!$D$2:$D,"&gt;="&amp;B21+2,Event_Girdi!$G$2:$G,"Evet"),COUNTIFS(Event_Girdi!$C$2:$C,"&lt;="&amp;B21+3,Event_Girdi!$D$2:$D,"&gt;="&amp;B21+3,Event_Girdi!$G$2:$G,"Evet"),COUNTIFS(Event_Girdi!$C$2:$C,"&lt;="&amp;B21+4,Event_Girdi!$D$2:$D,"&gt;="&amp;B21+4,Event_Girdi!$G$2:$G,"Evet"),COUNTIFS(Event_Girdi!$C$2:$C,"&lt;="&amp;B21+5,Event_Girdi!$D$2:$D,"&gt;="&amp;B21+5,Event_Girdi!$G$2:$G,"Evet"),COUNTIFS(Event_Girdi!$C$2:$C,"&lt;="&amp;B21+6,Event_Girdi!$D$2:$D,"&gt;="&amp;B21+6,Event_Girdi!$G$2:$G,"Evet")))</f>
      </c>
      <c r="G21">
        <f>IF(B21="","",IFERROR(INDEX(SORT(FILTER(Event_Girdi!$A$2:$E,Event_Girdi!$G$2:$G="Evet",Event_Girdi!$C$2:$C&lt;=B21,Event_Girdi!$D$2:$D&gt;=B21),5,TRUE,3,TRUE,1,TRUE),1,1),""))</f>
      </c>
      <c r="H21">
        <f>IF(B21="","",IFERROR(INDEX(SORT(FILTER(Event_Girdi!$A$2:$F,Event_Girdi!$G$2:$G="Evet",Event_Girdi!$F$2:$F="Evet",Event_Girdi!$C$2:$C&lt;=B21,Event_Girdi!$D$2:$D&gt;=B21),3,TRUE,1,TRUE),1,1),G21))</f>
      </c>
      <c r="I21">
        <f>IF(B21="","",IFERROR(TEXTJOIN(" &gt; ",TRUE,INDEX(SORT(FILTER(Event_Girdi!$A$2:$H,Event_Girdi!$G$2:$G="Evet",Event_Girdi!$C$2:$C&lt;=B21,Event_Girdi!$D$2:$D&gt;=B21),8,TRUE,5,TRUE,3,TRUE,1,TRUE),,1)),""))</f>
      </c>
      <c r="J21">
        <f>IF(B21="","",IF(F21&gt;1,"Cakisiyor","Normal"))</f>
      </c>
    </row>
    <row r="22">
      <c r="A22">
        <f>IF(B22="","","W"&amp;(ROW()-1))</f>
      </c>
      <c r="B22" s="1">
        <f>IF(B21="","",IF(B21+7&lt;=MAX(FILTER(Event_Girdi!$D$2:$D,Event_Girdi!$G$2:$G="Evet"))+6,B21+7,""))</f>
      </c>
      <c r="C22" s="1">
        <f>IF(B22="","",B22+6)</f>
      </c>
      <c r="D22">
        <f>IF(B22="","",TEXT(B22,"dd mmm")&amp;" - "&amp;TEXT(C22,"dd mmm"))</f>
      </c>
      <c r="E22">
        <f>IF(B22="","",IFERROR(TEXTJOIN(", ",TRUE,FILTER(Event_Girdi!$A$2:$A,Event_Girdi!$G$2:$G="Evet",Event_Girdi!$C$2:$C&lt;=C22,Event_Girdi!$D$2:$D&gt;=B22)),""))</f>
      </c>
      <c r="F22">
        <f>IF(B22="","",MAX(COUNTIFS(Event_Girdi!$C$2:$C,"&lt;="&amp;B22,Event_Girdi!$D$2:$D,"&gt;="&amp;B22,Event_Girdi!$G$2:$G,"Evet"),COUNTIFS(Event_Girdi!$C$2:$C,"&lt;="&amp;B22+1,Event_Girdi!$D$2:$D,"&gt;="&amp;B22+1,Event_Girdi!$G$2:$G,"Evet"),COUNTIFS(Event_Girdi!$C$2:$C,"&lt;="&amp;B22+2,Event_Girdi!$D$2:$D,"&gt;="&amp;B22+2,Event_Girdi!$G$2:$G,"Evet"),COUNTIFS(Event_Girdi!$C$2:$C,"&lt;="&amp;B22+3,Event_Girdi!$D$2:$D,"&gt;="&amp;B22+3,Event_Girdi!$G$2:$G,"Evet"),COUNTIFS(Event_Girdi!$C$2:$C,"&lt;="&amp;B22+4,Event_Girdi!$D$2:$D,"&gt;="&amp;B22+4,Event_Girdi!$G$2:$G,"Evet"),COUNTIFS(Event_Girdi!$C$2:$C,"&lt;="&amp;B22+5,Event_Girdi!$D$2:$D,"&gt;="&amp;B22+5,Event_Girdi!$G$2:$G,"Evet"),COUNTIFS(Event_Girdi!$C$2:$C,"&lt;="&amp;B22+6,Event_Girdi!$D$2:$D,"&gt;="&amp;B22+6,Event_Girdi!$G$2:$G,"Evet")))</f>
      </c>
      <c r="G22">
        <f>IF(B22="","",IFERROR(INDEX(SORT(FILTER(Event_Girdi!$A$2:$E,Event_Girdi!$G$2:$G="Evet",Event_Girdi!$C$2:$C&lt;=B22,Event_Girdi!$D$2:$D&gt;=B22),5,TRUE,3,TRUE,1,TRUE),1,1),""))</f>
      </c>
      <c r="H22">
        <f>IF(B22="","",IFERROR(INDEX(SORT(FILTER(Event_Girdi!$A$2:$F,Event_Girdi!$G$2:$G="Evet",Event_Girdi!$F$2:$F="Evet",Event_Girdi!$C$2:$C&lt;=B22,Event_Girdi!$D$2:$D&gt;=B22),3,TRUE,1,TRUE),1,1),G22))</f>
      </c>
      <c r="I22">
        <f>IF(B22="","",IFERROR(TEXTJOIN(" &gt; ",TRUE,INDEX(SORT(FILTER(Event_Girdi!$A$2:$H,Event_Girdi!$G$2:$G="Evet",Event_Girdi!$C$2:$C&lt;=B22,Event_Girdi!$D$2:$D&gt;=B22),8,TRUE,5,TRUE,3,TRUE,1,TRUE),,1)),""))</f>
      </c>
      <c r="J22">
        <f>IF(B22="","",IF(F22&gt;1,"Cakisiyor","Normal"))</f>
      </c>
    </row>
    <row r="23">
      <c r="A23">
        <f>IF(B23="","","W"&amp;(ROW()-1))</f>
      </c>
      <c r="B23" s="1">
        <f>IF(B22="","",IF(B22+7&lt;=MAX(FILTER(Event_Girdi!$D$2:$D,Event_Girdi!$G$2:$G="Evet"))+6,B22+7,""))</f>
      </c>
      <c r="C23" s="1">
        <f>IF(B23="","",B23+6)</f>
      </c>
      <c r="D23">
        <f>IF(B23="","",TEXT(B23,"dd mmm")&amp;" - "&amp;TEXT(C23,"dd mmm"))</f>
      </c>
      <c r="E23">
        <f>IF(B23="","",IFERROR(TEXTJOIN(", ",TRUE,FILTER(Event_Girdi!$A$2:$A,Event_Girdi!$G$2:$G="Evet",Event_Girdi!$C$2:$C&lt;=C23,Event_Girdi!$D$2:$D&gt;=B23)),""))</f>
      </c>
      <c r="F23">
        <f>IF(B23="","",MAX(COUNTIFS(Event_Girdi!$C$2:$C,"&lt;="&amp;B23,Event_Girdi!$D$2:$D,"&gt;="&amp;B23,Event_Girdi!$G$2:$G,"Evet"),COUNTIFS(Event_Girdi!$C$2:$C,"&lt;="&amp;B23+1,Event_Girdi!$D$2:$D,"&gt;="&amp;B23+1,Event_Girdi!$G$2:$G,"Evet"),COUNTIFS(Event_Girdi!$C$2:$C,"&lt;="&amp;B23+2,Event_Girdi!$D$2:$D,"&gt;="&amp;B23+2,Event_Girdi!$G$2:$G,"Evet"),COUNTIFS(Event_Girdi!$C$2:$C,"&lt;="&amp;B23+3,Event_Girdi!$D$2:$D,"&gt;="&amp;B23+3,Event_Girdi!$G$2:$G,"Evet"),COUNTIFS(Event_Girdi!$C$2:$C,"&lt;="&amp;B23+4,Event_Girdi!$D$2:$D,"&gt;="&amp;B23+4,Event_Girdi!$G$2:$G,"Evet"),COUNTIFS(Event_Girdi!$C$2:$C,"&lt;="&amp;B23+5,Event_Girdi!$D$2:$D,"&gt;="&amp;B23+5,Event_Girdi!$G$2:$G,"Evet"),COUNTIFS(Event_Girdi!$C$2:$C,"&lt;="&amp;B23+6,Event_Girdi!$D$2:$D,"&gt;="&amp;B23+6,Event_Girdi!$G$2:$G,"Evet")))</f>
      </c>
      <c r="G23">
        <f>IF(B23="","",IFERROR(INDEX(SORT(FILTER(Event_Girdi!$A$2:$E,Event_Girdi!$G$2:$G="Evet",Event_Girdi!$C$2:$C&lt;=B23,Event_Girdi!$D$2:$D&gt;=B23),5,TRUE,3,TRUE,1,TRUE),1,1),""))</f>
      </c>
      <c r="H23">
        <f>IF(B23="","",IFERROR(INDEX(SORT(FILTER(Event_Girdi!$A$2:$F,Event_Girdi!$G$2:$G="Evet",Event_Girdi!$F$2:$F="Evet",Event_Girdi!$C$2:$C&lt;=B23,Event_Girdi!$D$2:$D&gt;=B23),3,TRUE,1,TRUE),1,1),G23))</f>
      </c>
      <c r="I23">
        <f>IF(B23="","",IFERROR(TEXTJOIN(" &gt; ",TRUE,INDEX(SORT(FILTER(Event_Girdi!$A$2:$H,Event_Girdi!$G$2:$G="Evet",Event_Girdi!$C$2:$C&lt;=B23,Event_Girdi!$D$2:$D&gt;=B23),8,TRUE,5,TRUE,3,TRUE,1,TRUE),,1)),""))</f>
      </c>
      <c r="J23">
        <f>IF(B23="","",IF(F23&gt;1,"Cakisiyor","Normal"))</f>
      </c>
    </row>
    <row r="24">
      <c r="A24">
        <f>IF(B24="","","W"&amp;(ROW()-1))</f>
      </c>
      <c r="B24" s="1">
        <f>IF(B23="","",IF(B23+7&lt;=MAX(FILTER(Event_Girdi!$D$2:$D,Event_Girdi!$G$2:$G="Evet"))+6,B23+7,""))</f>
      </c>
      <c r="C24" s="1">
        <f>IF(B24="","",B24+6)</f>
      </c>
      <c r="D24">
        <f>IF(B24="","",TEXT(B24,"dd mmm")&amp;" - "&amp;TEXT(C24,"dd mmm"))</f>
      </c>
      <c r="E24">
        <f>IF(B24="","",IFERROR(TEXTJOIN(", ",TRUE,FILTER(Event_Girdi!$A$2:$A,Event_Girdi!$G$2:$G="Evet",Event_Girdi!$C$2:$C&lt;=C24,Event_Girdi!$D$2:$D&gt;=B24)),""))</f>
      </c>
      <c r="F24">
        <f>IF(B24="","",MAX(COUNTIFS(Event_Girdi!$C$2:$C,"&lt;="&amp;B24,Event_Girdi!$D$2:$D,"&gt;="&amp;B24,Event_Girdi!$G$2:$G,"Evet"),COUNTIFS(Event_Girdi!$C$2:$C,"&lt;="&amp;B24+1,Event_Girdi!$D$2:$D,"&gt;="&amp;B24+1,Event_Girdi!$G$2:$G,"Evet"),COUNTIFS(Event_Girdi!$C$2:$C,"&lt;="&amp;B24+2,Event_Girdi!$D$2:$D,"&gt;="&amp;B24+2,Event_Girdi!$G$2:$G,"Evet"),COUNTIFS(Event_Girdi!$C$2:$C,"&lt;="&amp;B24+3,Event_Girdi!$D$2:$D,"&gt;="&amp;B24+3,Event_Girdi!$G$2:$G,"Evet"),COUNTIFS(Event_Girdi!$C$2:$C,"&lt;="&amp;B24+4,Event_Girdi!$D$2:$D,"&gt;="&amp;B24+4,Event_Girdi!$G$2:$G,"Evet"),COUNTIFS(Event_Girdi!$C$2:$C,"&lt;="&amp;B24+5,Event_Girdi!$D$2:$D,"&gt;="&amp;B24+5,Event_Girdi!$G$2:$G,"Evet"),COUNTIFS(Event_Girdi!$C$2:$C,"&lt;="&amp;B24+6,Event_Girdi!$D$2:$D,"&gt;="&amp;B24+6,Event_Girdi!$G$2:$G,"Evet")))</f>
      </c>
      <c r="G24">
        <f>IF(B24="","",IFERROR(INDEX(SORT(FILTER(Event_Girdi!$A$2:$E,Event_Girdi!$G$2:$G="Evet",Event_Girdi!$C$2:$C&lt;=B24,Event_Girdi!$D$2:$D&gt;=B24),5,TRUE,3,TRUE,1,TRUE),1,1),""))</f>
      </c>
      <c r="H24">
        <f>IF(B24="","",IFERROR(INDEX(SORT(FILTER(Event_Girdi!$A$2:$F,Event_Girdi!$G$2:$G="Evet",Event_Girdi!$F$2:$F="Evet",Event_Girdi!$C$2:$C&lt;=B24,Event_Girdi!$D$2:$D&gt;=B24),3,TRUE,1,TRUE),1,1),G24))</f>
      </c>
      <c r="I24">
        <f>IF(B24="","",IFERROR(TEXTJOIN(" &gt; ",TRUE,INDEX(SORT(FILTER(Event_Girdi!$A$2:$H,Event_Girdi!$G$2:$G="Evet",Event_Girdi!$C$2:$C&lt;=B24,Event_Girdi!$D$2:$D&gt;=B24),8,TRUE,5,TRUE,3,TRUE,1,TRUE),,1)),""))</f>
      </c>
      <c r="J24">
        <f>IF(B24="","",IF(F24&gt;1,"Cakisiyor","Normal"))</f>
      </c>
    </row>
    <row r="25">
      <c r="A25">
        <f>IF(B25="","","W"&amp;(ROW()-1))</f>
      </c>
      <c r="B25" s="1">
        <f>IF(B24="","",IF(B24+7&lt;=MAX(FILTER(Event_Girdi!$D$2:$D,Event_Girdi!$G$2:$G="Evet"))+6,B24+7,""))</f>
      </c>
      <c r="C25" s="1">
        <f>IF(B25="","",B25+6)</f>
      </c>
      <c r="D25">
        <f>IF(B25="","",TEXT(B25,"dd mmm")&amp;" - "&amp;TEXT(C25,"dd mmm"))</f>
      </c>
      <c r="E25">
        <f>IF(B25="","",IFERROR(TEXTJOIN(", ",TRUE,FILTER(Event_Girdi!$A$2:$A,Event_Girdi!$G$2:$G="Evet",Event_Girdi!$C$2:$C&lt;=C25,Event_Girdi!$D$2:$D&gt;=B25)),""))</f>
      </c>
      <c r="F25">
        <f>IF(B25="","",MAX(COUNTIFS(Event_Girdi!$C$2:$C,"&lt;="&amp;B25,Event_Girdi!$D$2:$D,"&gt;="&amp;B25,Event_Girdi!$G$2:$G,"Evet"),COUNTIFS(Event_Girdi!$C$2:$C,"&lt;="&amp;B25+1,Event_Girdi!$D$2:$D,"&gt;="&amp;B25+1,Event_Girdi!$G$2:$G,"Evet"),COUNTIFS(Event_Girdi!$C$2:$C,"&lt;="&amp;B25+2,Event_Girdi!$D$2:$D,"&gt;="&amp;B25+2,Event_Girdi!$G$2:$G,"Evet"),COUNTIFS(Event_Girdi!$C$2:$C,"&lt;="&amp;B25+3,Event_Girdi!$D$2:$D,"&gt;="&amp;B25+3,Event_Girdi!$G$2:$G,"Evet"),COUNTIFS(Event_Girdi!$C$2:$C,"&lt;="&amp;B25+4,Event_Girdi!$D$2:$D,"&gt;="&amp;B25+4,Event_Girdi!$G$2:$G,"Evet"),COUNTIFS(Event_Girdi!$C$2:$C,"&lt;="&amp;B25+5,Event_Girdi!$D$2:$D,"&gt;="&amp;B25+5,Event_Girdi!$G$2:$G,"Evet"),COUNTIFS(Event_Girdi!$C$2:$C,"&lt;="&amp;B25+6,Event_Girdi!$D$2:$D,"&gt;="&amp;B25+6,Event_Girdi!$G$2:$G,"Evet")))</f>
      </c>
      <c r="G25">
        <f>IF(B25="","",IFERROR(INDEX(SORT(FILTER(Event_Girdi!$A$2:$E,Event_Girdi!$G$2:$G="Evet",Event_Girdi!$C$2:$C&lt;=B25,Event_Girdi!$D$2:$D&gt;=B25),5,TRUE,3,TRUE,1,TRUE),1,1),""))</f>
      </c>
      <c r="H25">
        <f>IF(B25="","",IFERROR(INDEX(SORT(FILTER(Event_Girdi!$A$2:$F,Event_Girdi!$G$2:$G="Evet",Event_Girdi!$F$2:$F="Evet",Event_Girdi!$C$2:$C&lt;=B25,Event_Girdi!$D$2:$D&gt;=B25),3,TRUE,1,TRUE),1,1),G25))</f>
      </c>
      <c r="I25">
        <f>IF(B25="","",IFERROR(TEXTJOIN(" &gt; ",TRUE,INDEX(SORT(FILTER(Event_Girdi!$A$2:$H,Event_Girdi!$G$2:$G="Evet",Event_Girdi!$C$2:$C&lt;=B25,Event_Girdi!$D$2:$D&gt;=B25),8,TRUE,5,TRUE,3,TRUE,1,TRUE),,1)),""))</f>
      </c>
      <c r="J25">
        <f>IF(B25="","",IF(F25&gt;1,"Cakisiyor","Normal"))</f>
      </c>
    </row>
    <row r="26">
      <c r="A26">
        <f>IF(B26="","","W"&amp;(ROW()-1))</f>
      </c>
      <c r="B26" s="1">
        <f>IF(B25="","",IF(B25+7&lt;=MAX(FILTER(Event_Girdi!$D$2:$D,Event_Girdi!$G$2:$G="Evet"))+6,B25+7,""))</f>
      </c>
      <c r="C26" s="1">
        <f>IF(B26="","",B26+6)</f>
      </c>
      <c r="D26">
        <f>IF(B26="","",TEXT(B26,"dd mmm")&amp;" - "&amp;TEXT(C26,"dd mmm"))</f>
      </c>
      <c r="E26">
        <f>IF(B26="","",IFERROR(TEXTJOIN(", ",TRUE,FILTER(Event_Girdi!$A$2:$A,Event_Girdi!$G$2:$G="Evet",Event_Girdi!$C$2:$C&lt;=C26,Event_Girdi!$D$2:$D&gt;=B26)),""))</f>
      </c>
      <c r="F26">
        <f>IF(B26="","",MAX(COUNTIFS(Event_Girdi!$C$2:$C,"&lt;="&amp;B26,Event_Girdi!$D$2:$D,"&gt;="&amp;B26,Event_Girdi!$G$2:$G,"Evet"),COUNTIFS(Event_Girdi!$C$2:$C,"&lt;="&amp;B26+1,Event_Girdi!$D$2:$D,"&gt;="&amp;B26+1,Event_Girdi!$G$2:$G,"Evet"),COUNTIFS(Event_Girdi!$C$2:$C,"&lt;="&amp;B26+2,Event_Girdi!$D$2:$D,"&gt;="&amp;B26+2,Event_Girdi!$G$2:$G,"Evet"),COUNTIFS(Event_Girdi!$C$2:$C,"&lt;="&amp;B26+3,Event_Girdi!$D$2:$D,"&gt;="&amp;B26+3,Event_Girdi!$G$2:$G,"Evet"),COUNTIFS(Event_Girdi!$C$2:$C,"&lt;="&amp;B26+4,Event_Girdi!$D$2:$D,"&gt;="&amp;B26+4,Event_Girdi!$G$2:$G,"Evet"),COUNTIFS(Event_Girdi!$C$2:$C,"&lt;="&amp;B26+5,Event_Girdi!$D$2:$D,"&gt;="&amp;B26+5,Event_Girdi!$G$2:$G,"Evet"),COUNTIFS(Event_Girdi!$C$2:$C,"&lt;="&amp;B26+6,Event_Girdi!$D$2:$D,"&gt;="&amp;B26+6,Event_Girdi!$G$2:$G,"Evet")))</f>
      </c>
      <c r="G26">
        <f>IF(B26="","",IFERROR(INDEX(SORT(FILTER(Event_Girdi!$A$2:$E,Event_Girdi!$G$2:$G="Evet",Event_Girdi!$C$2:$C&lt;=B26,Event_Girdi!$D$2:$D&gt;=B26),5,TRUE,3,TRUE,1,TRUE),1,1),""))</f>
      </c>
      <c r="H26">
        <f>IF(B26="","",IFERROR(INDEX(SORT(FILTER(Event_Girdi!$A$2:$F,Event_Girdi!$G$2:$G="Evet",Event_Girdi!$F$2:$F="Evet",Event_Girdi!$C$2:$C&lt;=B26,Event_Girdi!$D$2:$D&gt;=B26),3,TRUE,1,TRUE),1,1),G26))</f>
      </c>
      <c r="I26">
        <f>IF(B26="","",IFERROR(TEXTJOIN(" &gt; ",TRUE,INDEX(SORT(FILTER(Event_Girdi!$A$2:$H,Event_Girdi!$G$2:$G="Evet",Event_Girdi!$C$2:$C&lt;=B26,Event_Girdi!$D$2:$D&gt;=B26),8,TRUE,5,TRUE,3,TRUE,1,TRUE),,1)),""))</f>
      </c>
      <c r="J26">
        <f>IF(B26="","",IF(F26&gt;1,"Cakisiyor","Normal"))</f>
      </c>
    </row>
    <row r="27">
      <c r="A27">
        <f>IF(B27="","","W"&amp;(ROW()-1))</f>
      </c>
      <c r="B27" s="1">
        <f>IF(B26="","",IF(B26+7&lt;=MAX(FILTER(Event_Girdi!$D$2:$D,Event_Girdi!$G$2:$G="Evet"))+6,B26+7,""))</f>
      </c>
      <c r="C27" s="1">
        <f>IF(B27="","",B27+6)</f>
      </c>
      <c r="D27">
        <f>IF(B27="","",TEXT(B27,"dd mmm")&amp;" - "&amp;TEXT(C27,"dd mmm"))</f>
      </c>
      <c r="E27">
        <f>IF(B27="","",IFERROR(TEXTJOIN(", ",TRUE,FILTER(Event_Girdi!$A$2:$A,Event_Girdi!$G$2:$G="Evet",Event_Girdi!$C$2:$C&lt;=C27,Event_Girdi!$D$2:$D&gt;=B27)),""))</f>
      </c>
      <c r="F27">
        <f>IF(B27="","",MAX(COUNTIFS(Event_Girdi!$C$2:$C,"&lt;="&amp;B27,Event_Girdi!$D$2:$D,"&gt;="&amp;B27,Event_Girdi!$G$2:$G,"Evet"),COUNTIFS(Event_Girdi!$C$2:$C,"&lt;="&amp;B27+1,Event_Girdi!$D$2:$D,"&gt;="&amp;B27+1,Event_Girdi!$G$2:$G,"Evet"),COUNTIFS(Event_Girdi!$C$2:$C,"&lt;="&amp;B27+2,Event_Girdi!$D$2:$D,"&gt;="&amp;B27+2,Event_Girdi!$G$2:$G,"Evet"),COUNTIFS(Event_Girdi!$C$2:$C,"&lt;="&amp;B27+3,Event_Girdi!$D$2:$D,"&gt;="&amp;B27+3,Event_Girdi!$G$2:$G,"Evet"),COUNTIFS(Event_Girdi!$C$2:$C,"&lt;="&amp;B27+4,Event_Girdi!$D$2:$D,"&gt;="&amp;B27+4,Event_Girdi!$G$2:$G,"Evet"),COUNTIFS(Event_Girdi!$C$2:$C,"&lt;="&amp;B27+5,Event_Girdi!$D$2:$D,"&gt;="&amp;B27+5,Event_Girdi!$G$2:$G,"Evet"),COUNTIFS(Event_Girdi!$C$2:$C,"&lt;="&amp;B27+6,Event_Girdi!$D$2:$D,"&gt;="&amp;B27+6,Event_Girdi!$G$2:$G,"Evet")))</f>
      </c>
      <c r="G27">
        <f>IF(B27="","",IFERROR(INDEX(SORT(FILTER(Event_Girdi!$A$2:$E,Event_Girdi!$G$2:$G="Evet",Event_Girdi!$C$2:$C&lt;=B27,Event_Girdi!$D$2:$D&gt;=B27),5,TRUE,3,TRUE,1,TRUE),1,1),""))</f>
      </c>
      <c r="H27">
        <f>IF(B27="","",IFERROR(INDEX(SORT(FILTER(Event_Girdi!$A$2:$F,Event_Girdi!$G$2:$G="Evet",Event_Girdi!$F$2:$F="Evet",Event_Girdi!$C$2:$C&lt;=B27,Event_Girdi!$D$2:$D&gt;=B27),3,TRUE,1,TRUE),1,1),G27))</f>
      </c>
      <c r="I27">
        <f>IF(B27="","",IFERROR(TEXTJOIN(" &gt; ",TRUE,INDEX(SORT(FILTER(Event_Girdi!$A$2:$H,Event_Girdi!$G$2:$G="Evet",Event_Girdi!$C$2:$C&lt;=B27,Event_Girdi!$D$2:$D&gt;=B27),8,TRUE,5,TRUE,3,TRUE,1,TRUE),,1)),""))</f>
      </c>
      <c r="J27">
        <f>IF(B27="","",IF(F27&gt;1,"Cakisiyor","Normal"))</f>
      </c>
    </row>
    <row r="28">
      <c r="A28">
        <f>IF(B28="","","W"&amp;(ROW()-1))</f>
      </c>
      <c r="B28" s="1">
        <f>IF(B27="","",IF(B27+7&lt;=MAX(FILTER(Event_Girdi!$D$2:$D,Event_Girdi!$G$2:$G="Evet"))+6,B27+7,""))</f>
      </c>
      <c r="C28" s="1">
        <f>IF(B28="","",B28+6)</f>
      </c>
      <c r="D28">
        <f>IF(B28="","",TEXT(B28,"dd mmm")&amp;" - "&amp;TEXT(C28,"dd mmm"))</f>
      </c>
      <c r="E28">
        <f>IF(B28="","",IFERROR(TEXTJOIN(", ",TRUE,FILTER(Event_Girdi!$A$2:$A,Event_Girdi!$G$2:$G="Evet",Event_Girdi!$C$2:$C&lt;=C28,Event_Girdi!$D$2:$D&gt;=B28)),""))</f>
      </c>
      <c r="F28">
        <f>IF(B28="","",MAX(COUNTIFS(Event_Girdi!$C$2:$C,"&lt;="&amp;B28,Event_Girdi!$D$2:$D,"&gt;="&amp;B28,Event_Girdi!$G$2:$G,"Evet"),COUNTIFS(Event_Girdi!$C$2:$C,"&lt;="&amp;B28+1,Event_Girdi!$D$2:$D,"&gt;="&amp;B28+1,Event_Girdi!$G$2:$G,"Evet"),COUNTIFS(Event_Girdi!$C$2:$C,"&lt;="&amp;B28+2,Event_Girdi!$D$2:$D,"&gt;="&amp;B28+2,Event_Girdi!$G$2:$G,"Evet"),COUNTIFS(Event_Girdi!$C$2:$C,"&lt;="&amp;B28+3,Event_Girdi!$D$2:$D,"&gt;="&amp;B28+3,Event_Girdi!$G$2:$G,"Evet"),COUNTIFS(Event_Girdi!$C$2:$C,"&lt;="&amp;B28+4,Event_Girdi!$D$2:$D,"&gt;="&amp;B28+4,Event_Girdi!$G$2:$G,"Evet"),COUNTIFS(Event_Girdi!$C$2:$C,"&lt;="&amp;B28+5,Event_Girdi!$D$2:$D,"&gt;="&amp;B28+5,Event_Girdi!$G$2:$G,"Evet"),COUNTIFS(Event_Girdi!$C$2:$C,"&lt;="&amp;B28+6,Event_Girdi!$D$2:$D,"&gt;="&amp;B28+6,Event_Girdi!$G$2:$G,"Evet")))</f>
      </c>
      <c r="G28">
        <f>IF(B28="","",IFERROR(INDEX(SORT(FILTER(Event_Girdi!$A$2:$E,Event_Girdi!$G$2:$G="Evet",Event_Girdi!$C$2:$C&lt;=B28,Event_Girdi!$D$2:$D&gt;=B28),5,TRUE,3,TRUE,1,TRUE),1,1),""))</f>
      </c>
      <c r="H28">
        <f>IF(B28="","",IFERROR(INDEX(SORT(FILTER(Event_Girdi!$A$2:$F,Event_Girdi!$G$2:$G="Evet",Event_Girdi!$F$2:$F="Evet",Event_Girdi!$C$2:$C&lt;=B28,Event_Girdi!$D$2:$D&gt;=B28),3,TRUE,1,TRUE),1,1),G28))</f>
      </c>
      <c r="I28">
        <f>IF(B28="","",IFERROR(TEXTJOIN(" &gt; ",TRUE,INDEX(SORT(FILTER(Event_Girdi!$A$2:$H,Event_Girdi!$G$2:$G="Evet",Event_Girdi!$C$2:$C&lt;=B28,Event_Girdi!$D$2:$D&gt;=B28),8,TRUE,5,TRUE,3,TRUE,1,TRUE),,1)),""))</f>
      </c>
      <c r="J28">
        <f>IF(B28="","",IF(F28&gt;1,"Cakisiyor","Normal"))</f>
      </c>
    </row>
    <row r="29">
      <c r="A29">
        <f>IF(B29="","","W"&amp;(ROW()-1))</f>
      </c>
      <c r="B29" s="1">
        <f>IF(B28="","",IF(B28+7&lt;=MAX(FILTER(Event_Girdi!$D$2:$D,Event_Girdi!$G$2:$G="Evet"))+6,B28+7,""))</f>
      </c>
      <c r="C29" s="1">
        <f>IF(B29="","",B29+6)</f>
      </c>
      <c r="D29">
        <f>IF(B29="","",TEXT(B29,"dd mmm")&amp;" - "&amp;TEXT(C29,"dd mmm"))</f>
      </c>
      <c r="E29">
        <f>IF(B29="","",IFERROR(TEXTJOIN(", ",TRUE,FILTER(Event_Girdi!$A$2:$A,Event_Girdi!$G$2:$G="Evet",Event_Girdi!$C$2:$C&lt;=C29,Event_Girdi!$D$2:$D&gt;=B29)),""))</f>
      </c>
      <c r="F29">
        <f>IF(B29="","",MAX(COUNTIFS(Event_Girdi!$C$2:$C,"&lt;="&amp;B29,Event_Girdi!$D$2:$D,"&gt;="&amp;B29,Event_Girdi!$G$2:$G,"Evet"),COUNTIFS(Event_Girdi!$C$2:$C,"&lt;="&amp;B29+1,Event_Girdi!$D$2:$D,"&gt;="&amp;B29+1,Event_Girdi!$G$2:$G,"Evet"),COUNTIFS(Event_Girdi!$C$2:$C,"&lt;="&amp;B29+2,Event_Girdi!$D$2:$D,"&gt;="&amp;B29+2,Event_Girdi!$G$2:$G,"Evet"),COUNTIFS(Event_Girdi!$C$2:$C,"&lt;="&amp;B29+3,Event_Girdi!$D$2:$D,"&gt;="&amp;B29+3,Event_Girdi!$G$2:$G,"Evet"),COUNTIFS(Event_Girdi!$C$2:$C,"&lt;="&amp;B29+4,Event_Girdi!$D$2:$D,"&gt;="&amp;B29+4,Event_Girdi!$G$2:$G,"Evet"),COUNTIFS(Event_Girdi!$C$2:$C,"&lt;="&amp;B29+5,Event_Girdi!$D$2:$D,"&gt;="&amp;B29+5,Event_Girdi!$G$2:$G,"Evet"),COUNTIFS(Event_Girdi!$C$2:$C,"&lt;="&amp;B29+6,Event_Girdi!$D$2:$D,"&gt;="&amp;B29+6,Event_Girdi!$G$2:$G,"Evet")))</f>
      </c>
      <c r="G29">
        <f>IF(B29="","",IFERROR(INDEX(SORT(FILTER(Event_Girdi!$A$2:$E,Event_Girdi!$G$2:$G="Evet",Event_Girdi!$C$2:$C&lt;=B29,Event_Girdi!$D$2:$D&gt;=B29),5,TRUE,3,TRUE,1,TRUE),1,1),""))</f>
      </c>
      <c r="H29">
        <f>IF(B29="","",IFERROR(INDEX(SORT(FILTER(Event_Girdi!$A$2:$F,Event_Girdi!$G$2:$G="Evet",Event_Girdi!$F$2:$F="Evet",Event_Girdi!$C$2:$C&lt;=B29,Event_Girdi!$D$2:$D&gt;=B29),3,TRUE,1,TRUE),1,1),G29))</f>
      </c>
      <c r="I29">
        <f>IF(B29="","",IFERROR(TEXTJOIN(" &gt; ",TRUE,INDEX(SORT(FILTER(Event_Girdi!$A$2:$H,Event_Girdi!$G$2:$G="Evet",Event_Girdi!$C$2:$C&lt;=B29,Event_Girdi!$D$2:$D&gt;=B29),8,TRUE,5,TRUE,3,TRUE,1,TRUE),,1)),""))</f>
      </c>
      <c r="J29">
        <f>IF(B29="","",IF(F29&gt;1,"Cakisiyor","Normal"))</f>
      </c>
    </row>
    <row r="30">
      <c r="A30">
        <f>IF(B30="","","W"&amp;(ROW()-1))</f>
      </c>
      <c r="B30" s="1">
        <f>IF(B29="","",IF(B29+7&lt;=MAX(FILTER(Event_Girdi!$D$2:$D,Event_Girdi!$G$2:$G="Evet"))+6,B29+7,""))</f>
      </c>
      <c r="C30" s="1">
        <f>IF(B30="","",B30+6)</f>
      </c>
      <c r="D30">
        <f>IF(B30="","",TEXT(B30,"dd mmm")&amp;" - "&amp;TEXT(C30,"dd mmm"))</f>
      </c>
      <c r="E30">
        <f>IF(B30="","",IFERROR(TEXTJOIN(", ",TRUE,FILTER(Event_Girdi!$A$2:$A,Event_Girdi!$G$2:$G="Evet",Event_Girdi!$C$2:$C&lt;=C30,Event_Girdi!$D$2:$D&gt;=B30)),""))</f>
      </c>
      <c r="F30">
        <f>IF(B30="","",MAX(COUNTIFS(Event_Girdi!$C$2:$C,"&lt;="&amp;B30,Event_Girdi!$D$2:$D,"&gt;="&amp;B30,Event_Girdi!$G$2:$G,"Evet"),COUNTIFS(Event_Girdi!$C$2:$C,"&lt;="&amp;B30+1,Event_Girdi!$D$2:$D,"&gt;="&amp;B30+1,Event_Girdi!$G$2:$G,"Evet"),COUNTIFS(Event_Girdi!$C$2:$C,"&lt;="&amp;B30+2,Event_Girdi!$D$2:$D,"&gt;="&amp;B30+2,Event_Girdi!$G$2:$G,"Evet"),COUNTIFS(Event_Girdi!$C$2:$C,"&lt;="&amp;B30+3,Event_Girdi!$D$2:$D,"&gt;="&amp;B30+3,Event_Girdi!$G$2:$G,"Evet"),COUNTIFS(Event_Girdi!$C$2:$C,"&lt;="&amp;B30+4,Event_Girdi!$D$2:$D,"&gt;="&amp;B30+4,Event_Girdi!$G$2:$G,"Evet"),COUNTIFS(Event_Girdi!$C$2:$C,"&lt;="&amp;B30+5,Event_Girdi!$D$2:$D,"&gt;="&amp;B30+5,Event_Girdi!$G$2:$G,"Evet"),COUNTIFS(Event_Girdi!$C$2:$C,"&lt;="&amp;B30+6,Event_Girdi!$D$2:$D,"&gt;="&amp;B30+6,Event_Girdi!$G$2:$G,"Evet")))</f>
      </c>
      <c r="G30">
        <f>IF(B30="","",IFERROR(INDEX(SORT(FILTER(Event_Girdi!$A$2:$E,Event_Girdi!$G$2:$G="Evet",Event_Girdi!$C$2:$C&lt;=B30,Event_Girdi!$D$2:$D&gt;=B30),5,TRUE,3,TRUE,1,TRUE),1,1),""))</f>
      </c>
      <c r="H30">
        <f>IF(B30="","",IFERROR(INDEX(SORT(FILTER(Event_Girdi!$A$2:$F,Event_Girdi!$G$2:$G="Evet",Event_Girdi!$F$2:$F="Evet",Event_Girdi!$C$2:$C&lt;=B30,Event_Girdi!$D$2:$D&gt;=B30),3,TRUE,1,TRUE),1,1),G30))</f>
      </c>
      <c r="I30">
        <f>IF(B30="","",IFERROR(TEXTJOIN(" &gt; ",TRUE,INDEX(SORT(FILTER(Event_Girdi!$A$2:$H,Event_Girdi!$G$2:$G="Evet",Event_Girdi!$C$2:$C&lt;=B30,Event_Girdi!$D$2:$D&gt;=B30),8,TRUE,5,TRUE,3,TRUE,1,TRUE),,1)),""))</f>
      </c>
      <c r="J30">
        <f>IF(B30="","",IF(F30&gt;1,"Cakisiyor","Normal"))</f>
      </c>
    </row>
    <row r="31">
      <c r="A31">
        <f>IF(B31="","","W"&amp;(ROW()-1))</f>
      </c>
      <c r="B31" s="1">
        <f>IF(B30="","",IF(B30+7&lt;=MAX(FILTER(Event_Girdi!$D$2:$D,Event_Girdi!$G$2:$G="Evet"))+6,B30+7,""))</f>
      </c>
      <c r="C31" s="1">
        <f>IF(B31="","",B31+6)</f>
      </c>
      <c r="D31">
        <f>IF(B31="","",TEXT(B31,"dd mmm")&amp;" - "&amp;TEXT(C31,"dd mmm"))</f>
      </c>
      <c r="E31">
        <f>IF(B31="","",IFERROR(TEXTJOIN(", ",TRUE,FILTER(Event_Girdi!$A$2:$A,Event_Girdi!$G$2:$G="Evet",Event_Girdi!$C$2:$C&lt;=C31,Event_Girdi!$D$2:$D&gt;=B31)),""))</f>
      </c>
      <c r="F31">
        <f>IF(B31="","",MAX(COUNTIFS(Event_Girdi!$C$2:$C,"&lt;="&amp;B31,Event_Girdi!$D$2:$D,"&gt;="&amp;B31,Event_Girdi!$G$2:$G,"Evet"),COUNTIFS(Event_Girdi!$C$2:$C,"&lt;="&amp;B31+1,Event_Girdi!$D$2:$D,"&gt;="&amp;B31+1,Event_Girdi!$G$2:$G,"Evet"),COUNTIFS(Event_Girdi!$C$2:$C,"&lt;="&amp;B31+2,Event_Girdi!$D$2:$D,"&gt;="&amp;B31+2,Event_Girdi!$G$2:$G,"Evet"),COUNTIFS(Event_Girdi!$C$2:$C,"&lt;="&amp;B31+3,Event_Girdi!$D$2:$D,"&gt;="&amp;B31+3,Event_Girdi!$G$2:$G,"Evet"),COUNTIFS(Event_Girdi!$C$2:$C,"&lt;="&amp;B31+4,Event_Girdi!$D$2:$D,"&gt;="&amp;B31+4,Event_Girdi!$G$2:$G,"Evet"),COUNTIFS(Event_Girdi!$C$2:$C,"&lt;="&amp;B31+5,Event_Girdi!$D$2:$D,"&gt;="&amp;B31+5,Event_Girdi!$G$2:$G,"Evet"),COUNTIFS(Event_Girdi!$C$2:$C,"&lt;="&amp;B31+6,Event_Girdi!$D$2:$D,"&gt;="&amp;B31+6,Event_Girdi!$G$2:$G,"Evet")))</f>
      </c>
      <c r="G31">
        <f>IF(B31="","",IFERROR(INDEX(SORT(FILTER(Event_Girdi!$A$2:$E,Event_Girdi!$G$2:$G="Evet",Event_Girdi!$C$2:$C&lt;=B31,Event_Girdi!$D$2:$D&gt;=B31),5,TRUE,3,TRUE,1,TRUE),1,1),""))</f>
      </c>
      <c r="H31">
        <f>IF(B31="","",IFERROR(INDEX(SORT(FILTER(Event_Girdi!$A$2:$F,Event_Girdi!$G$2:$G="Evet",Event_Girdi!$F$2:$F="Evet",Event_Girdi!$C$2:$C&lt;=B31,Event_Girdi!$D$2:$D&gt;=B31),3,TRUE,1,TRUE),1,1),G31))</f>
      </c>
      <c r="I31">
        <f>IF(B31="","",IFERROR(TEXTJOIN(" &gt; ",TRUE,INDEX(SORT(FILTER(Event_Girdi!$A$2:$H,Event_Girdi!$G$2:$G="Evet",Event_Girdi!$C$2:$C&lt;=B31,Event_Girdi!$D$2:$D&gt;=B31),8,TRUE,5,TRUE,3,TRUE,1,TRUE),,1)),""))</f>
      </c>
      <c r="J31">
        <f>IF(B31="","",IF(F31&gt;1,"Cakisiyor","Normal"))</f>
      </c>
    </row>
  </sheetData>
</worksheet>
</file>

<file path=xl/worksheets/sheet3.xml><?xml version="1.0" encoding="utf-8"?>
<worksheet xmlns="http://schemas.openxmlformats.org/spreadsheetml/2006/main">
  <dimension ref="A1:W54"/>
  <sheetData>
    <row r="1">
      <c r="A1" t="inlineStr">
        <is>
          <t>DENEME EVENT - Haftalik Dashboard</t>
        </is>
      </c>
    </row>
    <row r="3">
      <c r="A3" t="inlineStr">
        <is>
          <t>Toplam Event</t>
        </is>
      </c>
      <c r="B3">
        <f>COUNTA(FILTER(Event_Girdi!$A$2:$A,Event_Girdi!$G$2:$G="Evet"))</f>
      </c>
    </row>
    <row r="4">
      <c r="A4" t="inlineStr">
        <is>
          <t>Toplam Hafta</t>
        </is>
      </c>
      <c r="B4">
        <f>COUNTA(FILTER(Hafta_Ozet!$A$2:$A,Hafta_Ozet!$A$2:$A&lt;&gt;""))</f>
      </c>
    </row>
    <row r="5">
      <c r="A5" t="inlineStr">
        <is>
          <t>Peak Cakisma</t>
        </is>
      </c>
      <c r="B5">
        <f>IFERROR(MAX(FILTER(Hafta_Ozet!$F$2:$F,Hafta_Ozet!$F$2:$F&lt;&gt;"")),0)</f>
      </c>
    </row>
    <row r="6">
      <c r="A6" t="inlineStr">
        <is>
          <t>Cakisan Hafta</t>
        </is>
      </c>
      <c r="B6">
        <f>COUNTIF(Hafta_Ozet!$F$2:$F,"&gt;1")</f>
      </c>
    </row>
    <row r="8">
      <c r="A8" t="inlineStr">
        <is>
          <t>Hafta</t>
        </is>
      </c>
      <c r="B8" t="inlineStr">
        <is>
          <t>Tarih_Araligi</t>
        </is>
      </c>
      <c r="C8" t="inlineStr">
        <is>
          <t>Aktif_Eventler</t>
        </is>
      </c>
      <c r="D8" t="inlineStr">
        <is>
          <t>Cakisma_Max</t>
        </is>
      </c>
      <c r="E8" t="inlineStr">
        <is>
          <t>Winner_Organik</t>
        </is>
      </c>
      <c r="F8" t="inlineStr">
        <is>
          <t>Winner_Deeplink</t>
        </is>
      </c>
      <c r="G8" t="inlineStr">
        <is>
          <t>Queue</t>
        </is>
      </c>
      <c r="H8" t="inlineStr">
        <is>
          <t>Durum</t>
        </is>
      </c>
    </row>
    <row r="9">
      <c r="A9">
        <f>IF(Hafta_Ozet!A2="","",Hafta_Ozet!A2)</f>
      </c>
      <c r="B9">
        <f>IF(A9="","",Hafta_Ozet!D2)</f>
      </c>
      <c r="C9">
        <f>IF(A9="","",Hafta_Ozet!E2)</f>
      </c>
      <c r="D9">
        <f>IF(A9="","",Hafta_Ozet!F2)</f>
      </c>
      <c r="E9">
        <f>IF(A9="","",Hafta_Ozet!G2)</f>
      </c>
      <c r="F9">
        <f>IF(A9="","",Hafta_Ozet!H2)</f>
      </c>
      <c r="G9">
        <f>IF(A9="","",Hafta_Ozet!I2)</f>
      </c>
      <c r="H9">
        <f>IF(A9="","",Hafta_Ozet!J2)</f>
      </c>
    </row>
    <row r="10">
      <c r="A10">
        <f>IF(Hafta_Ozet!A3="","",Hafta_Ozet!A3)</f>
      </c>
      <c r="B10">
        <f>IF(A10="","",Hafta_Ozet!D3)</f>
      </c>
      <c r="C10">
        <f>IF(A10="","",Hafta_Ozet!E3)</f>
      </c>
      <c r="D10">
        <f>IF(A10="","",Hafta_Ozet!F3)</f>
      </c>
      <c r="E10">
        <f>IF(A10="","",Hafta_Ozet!G3)</f>
      </c>
      <c r="F10">
        <f>IF(A10="","",Hafta_Ozet!H3)</f>
      </c>
      <c r="G10">
        <f>IF(A10="","",Hafta_Ozet!I3)</f>
      </c>
      <c r="H10">
        <f>IF(A10="","",Hafta_Ozet!J3)</f>
      </c>
    </row>
    <row r="11">
      <c r="A11">
        <f>IF(Hafta_Ozet!A4="","",Hafta_Ozet!A4)</f>
      </c>
      <c r="B11">
        <f>IF(A11="","",Hafta_Ozet!D4)</f>
      </c>
      <c r="C11">
        <f>IF(A11="","",Hafta_Ozet!E4)</f>
      </c>
      <c r="D11">
        <f>IF(A11="","",Hafta_Ozet!F4)</f>
      </c>
      <c r="E11">
        <f>IF(A11="","",Hafta_Ozet!G4)</f>
      </c>
      <c r="F11">
        <f>IF(A11="","",Hafta_Ozet!H4)</f>
      </c>
      <c r="G11">
        <f>IF(A11="","",Hafta_Ozet!I4)</f>
      </c>
      <c r="H11">
        <f>IF(A11="","",Hafta_Ozet!J4)</f>
      </c>
    </row>
    <row r="12">
      <c r="A12">
        <f>IF(Hafta_Ozet!A5="","",Hafta_Ozet!A5)</f>
      </c>
      <c r="B12">
        <f>IF(A12="","",Hafta_Ozet!D5)</f>
      </c>
      <c r="C12">
        <f>IF(A12="","",Hafta_Ozet!E5)</f>
      </c>
      <c r="D12">
        <f>IF(A12="","",Hafta_Ozet!F5)</f>
      </c>
      <c r="E12">
        <f>IF(A12="","",Hafta_Ozet!G5)</f>
      </c>
      <c r="F12">
        <f>IF(A12="","",Hafta_Ozet!H5)</f>
      </c>
      <c r="G12">
        <f>IF(A12="","",Hafta_Ozet!I5)</f>
      </c>
      <c r="H12">
        <f>IF(A12="","",Hafta_Ozet!J5)</f>
      </c>
    </row>
    <row r="13">
      <c r="A13">
        <f>IF(Hafta_Ozet!A6="","",Hafta_Ozet!A6)</f>
      </c>
      <c r="B13">
        <f>IF(A13="","",Hafta_Ozet!D6)</f>
      </c>
      <c r="C13">
        <f>IF(A13="","",Hafta_Ozet!E6)</f>
      </c>
      <c r="D13">
        <f>IF(A13="","",Hafta_Ozet!F6)</f>
      </c>
      <c r="E13">
        <f>IF(A13="","",Hafta_Ozet!G6)</f>
      </c>
      <c r="F13">
        <f>IF(A13="","",Hafta_Ozet!H6)</f>
      </c>
      <c r="G13">
        <f>IF(A13="","",Hafta_Ozet!I6)</f>
      </c>
      <c r="H13">
        <f>IF(A13="","",Hafta_Ozet!J6)</f>
      </c>
    </row>
    <row r="14">
      <c r="A14">
        <f>IF(Hafta_Ozet!A7="","",Hafta_Ozet!A7)</f>
      </c>
      <c r="B14">
        <f>IF(A14="","",Hafta_Ozet!D7)</f>
      </c>
      <c r="C14">
        <f>IF(A14="","",Hafta_Ozet!E7)</f>
      </c>
      <c r="D14">
        <f>IF(A14="","",Hafta_Ozet!F7)</f>
      </c>
      <c r="E14">
        <f>IF(A14="","",Hafta_Ozet!G7)</f>
      </c>
      <c r="F14">
        <f>IF(A14="","",Hafta_Ozet!H7)</f>
      </c>
      <c r="G14">
        <f>IF(A14="","",Hafta_Ozet!I7)</f>
      </c>
      <c r="H14">
        <f>IF(A14="","",Hafta_Ozet!J7)</f>
      </c>
    </row>
    <row r="15">
      <c r="A15">
        <f>IF(Hafta_Ozet!A8="","",Hafta_Ozet!A8)</f>
      </c>
      <c r="B15">
        <f>IF(A15="","",Hafta_Ozet!D8)</f>
      </c>
      <c r="C15">
        <f>IF(A15="","",Hafta_Ozet!E8)</f>
      </c>
      <c r="D15">
        <f>IF(A15="","",Hafta_Ozet!F8)</f>
      </c>
      <c r="E15">
        <f>IF(A15="","",Hafta_Ozet!G8)</f>
      </c>
      <c r="F15">
        <f>IF(A15="","",Hafta_Ozet!H8)</f>
      </c>
      <c r="G15">
        <f>IF(A15="","",Hafta_Ozet!I8)</f>
      </c>
      <c r="H15">
        <f>IF(A15="","",Hafta_Ozet!J8)</f>
      </c>
    </row>
    <row r="16">
      <c r="A16">
        <f>IF(Hafta_Ozet!A9="","",Hafta_Ozet!A9)</f>
      </c>
      <c r="B16">
        <f>IF(A16="","",Hafta_Ozet!D9)</f>
      </c>
      <c r="C16">
        <f>IF(A16="","",Hafta_Ozet!E9)</f>
      </c>
      <c r="D16">
        <f>IF(A16="","",Hafta_Ozet!F9)</f>
      </c>
      <c r="E16">
        <f>IF(A16="","",Hafta_Ozet!G9)</f>
      </c>
      <c r="F16">
        <f>IF(A16="","",Hafta_Ozet!H9)</f>
      </c>
      <c r="G16">
        <f>IF(A16="","",Hafta_Ozet!I9)</f>
      </c>
      <c r="H16">
        <f>IF(A16="","",Hafta_Ozet!J9)</f>
      </c>
    </row>
    <row r="17">
      <c r="A17">
        <f>IF(Hafta_Ozet!A10="","",Hafta_Ozet!A10)</f>
      </c>
      <c r="B17">
        <f>IF(A17="","",Hafta_Ozet!D10)</f>
      </c>
      <c r="C17">
        <f>IF(A17="","",Hafta_Ozet!E10)</f>
      </c>
      <c r="D17">
        <f>IF(A17="","",Hafta_Ozet!F10)</f>
      </c>
      <c r="E17">
        <f>IF(A17="","",Hafta_Ozet!G10)</f>
      </c>
      <c r="F17">
        <f>IF(A17="","",Hafta_Ozet!H10)</f>
      </c>
      <c r="G17">
        <f>IF(A17="","",Hafta_Ozet!I10)</f>
      </c>
      <c r="H17">
        <f>IF(A17="","",Hafta_Ozet!J10)</f>
      </c>
    </row>
    <row r="18">
      <c r="A18">
        <f>IF(Hafta_Ozet!A11="","",Hafta_Ozet!A11)</f>
      </c>
      <c r="B18">
        <f>IF(A18="","",Hafta_Ozet!D11)</f>
      </c>
      <c r="C18">
        <f>IF(A18="","",Hafta_Ozet!E11)</f>
      </c>
      <c r="D18">
        <f>IF(A18="","",Hafta_Ozet!F11)</f>
      </c>
      <c r="E18">
        <f>IF(A18="","",Hafta_Ozet!G11)</f>
      </c>
      <c r="F18">
        <f>IF(A18="","",Hafta_Ozet!H11)</f>
      </c>
      <c r="G18">
        <f>IF(A18="","",Hafta_Ozet!I11)</f>
      </c>
      <c r="H18">
        <f>IF(A18="","",Hafta_Ozet!J11)</f>
      </c>
    </row>
    <row r="19">
      <c r="A19">
        <f>IF(Hafta_Ozet!A12="","",Hafta_Ozet!A12)</f>
      </c>
      <c r="B19">
        <f>IF(A19="","",Hafta_Ozet!D12)</f>
      </c>
      <c r="C19">
        <f>IF(A19="","",Hafta_Ozet!E12)</f>
      </c>
      <c r="D19">
        <f>IF(A19="","",Hafta_Ozet!F12)</f>
      </c>
      <c r="E19">
        <f>IF(A19="","",Hafta_Ozet!G12)</f>
      </c>
      <c r="F19">
        <f>IF(A19="","",Hafta_Ozet!H12)</f>
      </c>
      <c r="G19">
        <f>IF(A19="","",Hafta_Ozet!I12)</f>
      </c>
      <c r="H19">
        <f>IF(A19="","",Hafta_Ozet!J12)</f>
      </c>
    </row>
    <row r="20">
      <c r="A20">
        <f>IF(Hafta_Ozet!A13="","",Hafta_Ozet!A13)</f>
      </c>
      <c r="B20">
        <f>IF(A20="","",Hafta_Ozet!D13)</f>
      </c>
      <c r="C20">
        <f>IF(A20="","",Hafta_Ozet!E13)</f>
      </c>
      <c r="D20">
        <f>IF(A20="","",Hafta_Ozet!F13)</f>
      </c>
      <c r="E20">
        <f>IF(A20="","",Hafta_Ozet!G13)</f>
      </c>
      <c r="F20">
        <f>IF(A20="","",Hafta_Ozet!H13)</f>
      </c>
      <c r="G20">
        <f>IF(A20="","",Hafta_Ozet!I13)</f>
      </c>
      <c r="H20">
        <f>IF(A20="","",Hafta_Ozet!J13)</f>
      </c>
    </row>
    <row r="21">
      <c r="A21">
        <f>IF(Hafta_Ozet!A14="","",Hafta_Ozet!A14)</f>
      </c>
      <c r="B21">
        <f>IF(A21="","",Hafta_Ozet!D14)</f>
      </c>
      <c r="C21">
        <f>IF(A21="","",Hafta_Ozet!E14)</f>
      </c>
      <c r="D21">
        <f>IF(A21="","",Hafta_Ozet!F14)</f>
      </c>
      <c r="E21">
        <f>IF(A21="","",Hafta_Ozet!G14)</f>
      </c>
      <c r="F21">
        <f>IF(A21="","",Hafta_Ozet!H14)</f>
      </c>
      <c r="G21">
        <f>IF(A21="","",Hafta_Ozet!I14)</f>
      </c>
      <c r="H21">
        <f>IF(A21="","",Hafta_Ozet!J14)</f>
      </c>
    </row>
    <row r="22">
      <c r="A22">
        <f>IF(Hafta_Ozet!A15="","",Hafta_Ozet!A15)</f>
      </c>
      <c r="B22">
        <f>IF(A22="","",Hafta_Ozet!D15)</f>
      </c>
      <c r="C22">
        <f>IF(A22="","",Hafta_Ozet!E15)</f>
      </c>
      <c r="D22">
        <f>IF(A22="","",Hafta_Ozet!F15)</f>
      </c>
      <c r="E22">
        <f>IF(A22="","",Hafta_Ozet!G15)</f>
      </c>
      <c r="F22">
        <f>IF(A22="","",Hafta_Ozet!H15)</f>
      </c>
      <c r="G22">
        <f>IF(A22="","",Hafta_Ozet!I15)</f>
      </c>
      <c r="H22">
        <f>IF(A22="","",Hafta_Ozet!J15)</f>
      </c>
    </row>
    <row r="23">
      <c r="A23">
        <f>IF(Hafta_Ozet!A16="","",Hafta_Ozet!A16)</f>
      </c>
      <c r="B23">
        <f>IF(A23="","",Hafta_Ozet!D16)</f>
      </c>
      <c r="C23">
        <f>IF(A23="","",Hafta_Ozet!E16)</f>
      </c>
      <c r="D23">
        <f>IF(A23="","",Hafta_Ozet!F16)</f>
      </c>
      <c r="E23">
        <f>IF(A23="","",Hafta_Ozet!G16)</f>
      </c>
      <c r="F23">
        <f>IF(A23="","",Hafta_Ozet!H16)</f>
      </c>
      <c r="G23">
        <f>IF(A23="","",Hafta_Ozet!I16)</f>
      </c>
      <c r="H23">
        <f>IF(A23="","",Hafta_Ozet!J16)</f>
      </c>
    </row>
    <row r="24">
      <c r="A24">
        <f>IF(Hafta_Ozet!A17="","",Hafta_Ozet!A17)</f>
      </c>
      <c r="B24">
        <f>IF(A24="","",Hafta_Ozet!D17)</f>
      </c>
      <c r="C24">
        <f>IF(A24="","",Hafta_Ozet!E17)</f>
      </c>
      <c r="D24">
        <f>IF(A24="","",Hafta_Ozet!F17)</f>
      </c>
      <c r="E24">
        <f>IF(A24="","",Hafta_Ozet!G17)</f>
      </c>
      <c r="F24">
        <f>IF(A24="","",Hafta_Ozet!H17)</f>
      </c>
      <c r="G24">
        <f>IF(A24="","",Hafta_Ozet!I17)</f>
      </c>
      <c r="H24">
        <f>IF(A24="","",Hafta_Ozet!J17)</f>
      </c>
    </row>
    <row r="25">
      <c r="A25">
        <f>IF(Hafta_Ozet!A18="","",Hafta_Ozet!A18)</f>
      </c>
      <c r="B25">
        <f>IF(A25="","",Hafta_Ozet!D18)</f>
      </c>
      <c r="C25">
        <f>IF(A25="","",Hafta_Ozet!E18)</f>
      </c>
      <c r="D25">
        <f>IF(A25="","",Hafta_Ozet!F18)</f>
      </c>
      <c r="E25">
        <f>IF(A25="","",Hafta_Ozet!G18)</f>
      </c>
      <c r="F25">
        <f>IF(A25="","",Hafta_Ozet!H18)</f>
      </c>
      <c r="G25">
        <f>IF(A25="","",Hafta_Ozet!I18)</f>
      </c>
      <c r="H25">
        <f>IF(A25="","",Hafta_Ozet!J18)</f>
      </c>
    </row>
    <row r="26">
      <c r="A26">
        <f>IF(Hafta_Ozet!A19="","",Hafta_Ozet!A19)</f>
      </c>
      <c r="B26">
        <f>IF(A26="","",Hafta_Ozet!D19)</f>
      </c>
      <c r="C26">
        <f>IF(A26="","",Hafta_Ozet!E19)</f>
      </c>
      <c r="D26">
        <f>IF(A26="","",Hafta_Ozet!F19)</f>
      </c>
      <c r="E26">
        <f>IF(A26="","",Hafta_Ozet!G19)</f>
      </c>
      <c r="F26">
        <f>IF(A26="","",Hafta_Ozet!H19)</f>
      </c>
      <c r="G26">
        <f>IF(A26="","",Hafta_Ozet!I19)</f>
      </c>
      <c r="H26">
        <f>IF(A26="","",Hafta_Ozet!J19)</f>
      </c>
    </row>
    <row r="27">
      <c r="A27">
        <f>IF(Hafta_Ozet!A20="","",Hafta_Ozet!A20)</f>
      </c>
      <c r="B27">
        <f>IF(A27="","",Hafta_Ozet!D20)</f>
      </c>
      <c r="C27">
        <f>IF(A27="","",Hafta_Ozet!E20)</f>
      </c>
      <c r="D27">
        <f>IF(A27="","",Hafta_Ozet!F20)</f>
      </c>
      <c r="E27">
        <f>IF(A27="","",Hafta_Ozet!G20)</f>
      </c>
      <c r="F27">
        <f>IF(A27="","",Hafta_Ozet!H20)</f>
      </c>
      <c r="G27">
        <f>IF(A27="","",Hafta_Ozet!I20)</f>
      </c>
      <c r="H27">
        <f>IF(A27="","",Hafta_Ozet!J20)</f>
      </c>
    </row>
    <row r="28">
      <c r="A28">
        <f>IF(Hafta_Ozet!A21="","",Hafta_Ozet!A21)</f>
      </c>
      <c r="B28">
        <f>IF(A28="","",Hafta_Ozet!D21)</f>
      </c>
      <c r="C28">
        <f>IF(A28="","",Hafta_Ozet!E21)</f>
      </c>
      <c r="D28">
        <f>IF(A28="","",Hafta_Ozet!F21)</f>
      </c>
      <c r="E28">
        <f>IF(A28="","",Hafta_Ozet!G21)</f>
      </c>
      <c r="F28">
        <f>IF(A28="","",Hafta_Ozet!H21)</f>
      </c>
      <c r="G28">
        <f>IF(A28="","",Hafta_Ozet!I21)</f>
      </c>
      <c r="H28">
        <f>IF(A28="","",Hafta_Ozet!J21)</f>
      </c>
    </row>
    <row r="31">
      <c r="A31" t="inlineStr">
        <is>
          <t>Event_ID</t>
        </is>
      </c>
      <c r="B31" t="inlineStr">
        <is>
          <t>Event_Adi</t>
        </is>
      </c>
      <c r="C31" t="inlineStr">
        <is>
          <t>Priority</t>
        </is>
      </c>
      <c r="D31">
        <f>IF(Hafta_Ozet!A2="","",Hafta_Ozet!A2&amp;" "&amp;Hafta_Ozet!D2)</f>
      </c>
      <c r="E31">
        <f>IF(Hafta_Ozet!A3="","",Hafta_Ozet!A3&amp;" "&amp;Hafta_Ozet!D3)</f>
      </c>
      <c r="F31">
        <f>IF(Hafta_Ozet!A4="","",Hafta_Ozet!A4&amp;" "&amp;Hafta_Ozet!D4)</f>
      </c>
      <c r="G31">
        <f>IF(Hafta_Ozet!A5="","",Hafta_Ozet!A5&amp;" "&amp;Hafta_Ozet!D5)</f>
      </c>
      <c r="H31">
        <f>IF(Hafta_Ozet!A6="","",Hafta_Ozet!A6&amp;" "&amp;Hafta_Ozet!D6)</f>
      </c>
      <c r="I31">
        <f>IF(Hafta_Ozet!A7="","",Hafta_Ozet!A7&amp;" "&amp;Hafta_Ozet!D7)</f>
      </c>
      <c r="J31">
        <f>IF(Hafta_Ozet!A8="","",Hafta_Ozet!A8&amp;" "&amp;Hafta_Ozet!D8)</f>
      </c>
      <c r="K31">
        <f>IF(Hafta_Ozet!A9="","",Hafta_Ozet!A9&amp;" "&amp;Hafta_Ozet!D9)</f>
      </c>
      <c r="L31">
        <f>IF(Hafta_Ozet!A10="","",Hafta_Ozet!A10&amp;" "&amp;Hafta_Ozet!D10)</f>
      </c>
      <c r="M31">
        <f>IF(Hafta_Ozet!A11="","",Hafta_Ozet!A11&amp;" "&amp;Hafta_Ozet!D11)</f>
      </c>
      <c r="N31">
        <f>IF(Hafta_Ozet!A12="","",Hafta_Ozet!A12&amp;" "&amp;Hafta_Ozet!D12)</f>
      </c>
      <c r="O31">
        <f>IF(Hafta_Ozet!A13="","",Hafta_Ozet!A13&amp;" "&amp;Hafta_Ozet!D13)</f>
      </c>
      <c r="P31">
        <f>IF(Hafta_Ozet!A14="","",Hafta_Ozet!A14&amp;" "&amp;Hafta_Ozet!D14)</f>
      </c>
      <c r="Q31">
        <f>IF(Hafta_Ozet!A15="","",Hafta_Ozet!A15&amp;" "&amp;Hafta_Ozet!D15)</f>
      </c>
      <c r="R31">
        <f>IF(Hafta_Ozet!A16="","",Hafta_Ozet!A16&amp;" "&amp;Hafta_Ozet!D16)</f>
      </c>
      <c r="S31">
        <f>IF(Hafta_Ozet!A17="","",Hafta_Ozet!A17&amp;" "&amp;Hafta_Ozet!D17)</f>
      </c>
      <c r="T31">
        <f>IF(Hafta_Ozet!A18="","",Hafta_Ozet!A18&amp;" "&amp;Hafta_Ozet!D18)</f>
      </c>
      <c r="U31">
        <f>IF(Hafta_Ozet!A19="","",Hafta_Ozet!A19&amp;" "&amp;Hafta_Ozet!D19)</f>
      </c>
      <c r="V31">
        <f>IF(Hafta_Ozet!A20="","",Hafta_Ozet!A20&amp;" "&amp;Hafta_Ozet!D20)</f>
      </c>
      <c r="W31">
        <f>IF(Hafta_Ozet!A21="","",Hafta_Ozet!A21&amp;" "&amp;Hafta_Ozet!D21)</f>
      </c>
    </row>
    <row r="32">
      <c r="A32">
        <f>IFERROR(INDEX(FILTER(Event_Girdi!$A$2:$A,Event_Girdi!$G$2:$G="Evet"),1),"")</f>
      </c>
      <c r="B32">
        <f>IF($A32="","",INDEX(Event_Girdi!$B:$B,MATCH($A32,Event_Girdi!$A:$A,0)))</f>
      </c>
      <c r="C32">
        <f>IF($A32="","",INDEX(Event_Girdi!$E:$E,MATCH($A32,Event_Girdi!$A:$A,0)))</f>
      </c>
      <c r="D32">
        <f>IF($A32="","",IF(Hafta_Ozet!$B2="","",IF(AND(INDEX(Event_Girdi!$C:$C,MATCH($A32,Event_Girdi!$A:$A,0))&lt;=Hafta_Ozet!$C2,INDEX(Event_Girdi!$D:$D,MATCH($A32,Event_Girdi!$A:$A,0))&gt;=Hafta_Ozet!$B2),"ACTIVE","")))</f>
      </c>
      <c r="E32">
        <f>IF($A32="","",IF(Hafta_Ozet!$B3="","",IF(AND(INDEX(Event_Girdi!$C:$C,MATCH($A32,Event_Girdi!$A:$A,0))&lt;=Hafta_Ozet!$C3,INDEX(Event_Girdi!$D:$D,MATCH($A32,Event_Girdi!$A:$A,0))&gt;=Hafta_Ozet!$B3),"ACTIVE","")))</f>
      </c>
      <c r="F32">
        <f>IF($A32="","",IF(Hafta_Ozet!$B4="","",IF(AND(INDEX(Event_Girdi!$C:$C,MATCH($A32,Event_Girdi!$A:$A,0))&lt;=Hafta_Ozet!$C4,INDEX(Event_Girdi!$D:$D,MATCH($A32,Event_Girdi!$A:$A,0))&gt;=Hafta_Ozet!$B4),"ACTIVE","")))</f>
      </c>
      <c r="G32">
        <f>IF($A32="","",IF(Hafta_Ozet!$B5="","",IF(AND(INDEX(Event_Girdi!$C:$C,MATCH($A32,Event_Girdi!$A:$A,0))&lt;=Hafta_Ozet!$C5,INDEX(Event_Girdi!$D:$D,MATCH($A32,Event_Girdi!$A:$A,0))&gt;=Hafta_Ozet!$B5),"ACTIVE","")))</f>
      </c>
      <c r="H32">
        <f>IF($A32="","",IF(Hafta_Ozet!$B6="","",IF(AND(INDEX(Event_Girdi!$C:$C,MATCH($A32,Event_Girdi!$A:$A,0))&lt;=Hafta_Ozet!$C6,INDEX(Event_Girdi!$D:$D,MATCH($A32,Event_Girdi!$A:$A,0))&gt;=Hafta_Ozet!$B6),"ACTIVE","")))</f>
      </c>
      <c r="I32">
        <f>IF($A32="","",IF(Hafta_Ozet!$B7="","",IF(AND(INDEX(Event_Girdi!$C:$C,MATCH($A32,Event_Girdi!$A:$A,0))&lt;=Hafta_Ozet!$C7,INDEX(Event_Girdi!$D:$D,MATCH($A32,Event_Girdi!$A:$A,0))&gt;=Hafta_Ozet!$B7),"ACTIVE","")))</f>
      </c>
      <c r="J32">
        <f>IF($A32="","",IF(Hafta_Ozet!$B8="","",IF(AND(INDEX(Event_Girdi!$C:$C,MATCH($A32,Event_Girdi!$A:$A,0))&lt;=Hafta_Ozet!$C8,INDEX(Event_Girdi!$D:$D,MATCH($A32,Event_Girdi!$A:$A,0))&gt;=Hafta_Ozet!$B8),"ACTIVE","")))</f>
      </c>
      <c r="K32">
        <f>IF($A32="","",IF(Hafta_Ozet!$B9="","",IF(AND(INDEX(Event_Girdi!$C:$C,MATCH($A32,Event_Girdi!$A:$A,0))&lt;=Hafta_Ozet!$C9,INDEX(Event_Girdi!$D:$D,MATCH($A32,Event_Girdi!$A:$A,0))&gt;=Hafta_Ozet!$B9),"ACTIVE","")))</f>
      </c>
      <c r="L32">
        <f>IF($A32="","",IF(Hafta_Ozet!$B10="","",IF(AND(INDEX(Event_Girdi!$C:$C,MATCH($A32,Event_Girdi!$A:$A,0))&lt;=Hafta_Ozet!$C10,INDEX(Event_Girdi!$D:$D,MATCH($A32,Event_Girdi!$A:$A,0))&gt;=Hafta_Ozet!$B10),"ACTIVE","")))</f>
      </c>
      <c r="M32">
        <f>IF($A32="","",IF(Hafta_Ozet!$B11="","",IF(AND(INDEX(Event_Girdi!$C:$C,MATCH($A32,Event_Girdi!$A:$A,0))&lt;=Hafta_Ozet!$C11,INDEX(Event_Girdi!$D:$D,MATCH($A32,Event_Girdi!$A:$A,0))&gt;=Hafta_Ozet!$B11),"ACTIVE","")))</f>
      </c>
      <c r="N32">
        <f>IF($A32="","",IF(Hafta_Ozet!$B12="","",IF(AND(INDEX(Event_Girdi!$C:$C,MATCH($A32,Event_Girdi!$A:$A,0))&lt;=Hafta_Ozet!$C12,INDEX(Event_Girdi!$D:$D,MATCH($A32,Event_Girdi!$A:$A,0))&gt;=Hafta_Ozet!$B12),"ACTIVE","")))</f>
      </c>
      <c r="O32">
        <f>IF($A32="","",IF(Hafta_Ozet!$B13="","",IF(AND(INDEX(Event_Girdi!$C:$C,MATCH($A32,Event_Girdi!$A:$A,0))&lt;=Hafta_Ozet!$C13,INDEX(Event_Girdi!$D:$D,MATCH($A32,Event_Girdi!$A:$A,0))&gt;=Hafta_Ozet!$B13),"ACTIVE","")))</f>
      </c>
      <c r="P32">
        <f>IF($A32="","",IF(Hafta_Ozet!$B14="","",IF(AND(INDEX(Event_Girdi!$C:$C,MATCH($A32,Event_Girdi!$A:$A,0))&lt;=Hafta_Ozet!$C14,INDEX(Event_Girdi!$D:$D,MATCH($A32,Event_Girdi!$A:$A,0))&gt;=Hafta_Ozet!$B14),"ACTIVE","")))</f>
      </c>
      <c r="Q32">
        <f>IF($A32="","",IF(Hafta_Ozet!$B15="","",IF(AND(INDEX(Event_Girdi!$C:$C,MATCH($A32,Event_Girdi!$A:$A,0))&lt;=Hafta_Ozet!$C15,INDEX(Event_Girdi!$D:$D,MATCH($A32,Event_Girdi!$A:$A,0))&gt;=Hafta_Ozet!$B15),"ACTIVE","")))</f>
      </c>
      <c r="R32">
        <f>IF($A32="","",IF(Hafta_Ozet!$B16="","",IF(AND(INDEX(Event_Girdi!$C:$C,MATCH($A32,Event_Girdi!$A:$A,0))&lt;=Hafta_Ozet!$C16,INDEX(Event_Girdi!$D:$D,MATCH($A32,Event_Girdi!$A:$A,0))&gt;=Hafta_Ozet!$B16),"ACTIVE","")))</f>
      </c>
      <c r="S32">
        <f>IF($A32="","",IF(Hafta_Ozet!$B17="","",IF(AND(INDEX(Event_Girdi!$C:$C,MATCH($A32,Event_Girdi!$A:$A,0))&lt;=Hafta_Ozet!$C17,INDEX(Event_Girdi!$D:$D,MATCH($A32,Event_Girdi!$A:$A,0))&gt;=Hafta_Ozet!$B17),"ACTIVE","")))</f>
      </c>
      <c r="T32">
        <f>IF($A32="","",IF(Hafta_Ozet!$B18="","",IF(AND(INDEX(Event_Girdi!$C:$C,MATCH($A32,Event_Girdi!$A:$A,0))&lt;=Hafta_Ozet!$C18,INDEX(Event_Girdi!$D:$D,MATCH($A32,Event_Girdi!$A:$A,0))&gt;=Hafta_Ozet!$B18),"ACTIVE","")))</f>
      </c>
      <c r="U32">
        <f>IF($A32="","",IF(Hafta_Ozet!$B19="","",IF(AND(INDEX(Event_Girdi!$C:$C,MATCH($A32,Event_Girdi!$A:$A,0))&lt;=Hafta_Ozet!$C19,INDEX(Event_Girdi!$D:$D,MATCH($A32,Event_Girdi!$A:$A,0))&gt;=Hafta_Ozet!$B19),"ACTIVE","")))</f>
      </c>
      <c r="V32">
        <f>IF($A32="","",IF(Hafta_Ozet!$B20="","",IF(AND(INDEX(Event_Girdi!$C:$C,MATCH($A32,Event_Girdi!$A:$A,0))&lt;=Hafta_Ozet!$C20,INDEX(Event_Girdi!$D:$D,MATCH($A32,Event_Girdi!$A:$A,0))&gt;=Hafta_Ozet!$B20),"ACTIVE","")))</f>
      </c>
      <c r="W32">
        <f>IF($A32="","",IF(Hafta_Ozet!$B21="","",IF(AND(INDEX(Event_Girdi!$C:$C,MATCH($A32,Event_Girdi!$A:$A,0))&lt;=Hafta_Ozet!$C21,INDEX(Event_Girdi!$D:$D,MATCH($A32,Event_Girdi!$A:$A,0))&gt;=Hafta_Ozet!$B21),"ACTIVE","")))</f>
      </c>
    </row>
    <row r="33">
      <c r="A33">
        <f>IFERROR(INDEX(FILTER(Event_Girdi!$A$2:$A,Event_Girdi!$G$2:$G="Evet"),2),"")</f>
      </c>
      <c r="B33">
        <f>IF($A33="","",INDEX(Event_Girdi!$B:$B,MATCH($A33,Event_Girdi!$A:$A,0)))</f>
      </c>
      <c r="C33">
        <f>IF($A33="","",INDEX(Event_Girdi!$E:$E,MATCH($A33,Event_Girdi!$A:$A,0)))</f>
      </c>
      <c r="D33">
        <f>IF($A33="","",IF(Hafta_Ozet!$B2="","",IF(AND(INDEX(Event_Girdi!$C:$C,MATCH($A33,Event_Girdi!$A:$A,0))&lt;=Hafta_Ozet!$C2,INDEX(Event_Girdi!$D:$D,MATCH($A33,Event_Girdi!$A:$A,0))&gt;=Hafta_Ozet!$B2),"ACTIVE","")))</f>
      </c>
      <c r="E33">
        <f>IF($A33="","",IF(Hafta_Ozet!$B3="","",IF(AND(INDEX(Event_Girdi!$C:$C,MATCH($A33,Event_Girdi!$A:$A,0))&lt;=Hafta_Ozet!$C3,INDEX(Event_Girdi!$D:$D,MATCH($A33,Event_Girdi!$A:$A,0))&gt;=Hafta_Ozet!$B3),"ACTIVE","")))</f>
      </c>
      <c r="F33">
        <f>IF($A33="","",IF(Hafta_Ozet!$B4="","",IF(AND(INDEX(Event_Girdi!$C:$C,MATCH($A33,Event_Girdi!$A:$A,0))&lt;=Hafta_Ozet!$C4,INDEX(Event_Girdi!$D:$D,MATCH($A33,Event_Girdi!$A:$A,0))&gt;=Hafta_Ozet!$B4),"ACTIVE","")))</f>
      </c>
      <c r="G33">
        <f>IF($A33="","",IF(Hafta_Ozet!$B5="","",IF(AND(INDEX(Event_Girdi!$C:$C,MATCH($A33,Event_Girdi!$A:$A,0))&lt;=Hafta_Ozet!$C5,INDEX(Event_Girdi!$D:$D,MATCH($A33,Event_Girdi!$A:$A,0))&gt;=Hafta_Ozet!$B5),"ACTIVE","")))</f>
      </c>
      <c r="H33">
        <f>IF($A33="","",IF(Hafta_Ozet!$B6="","",IF(AND(INDEX(Event_Girdi!$C:$C,MATCH($A33,Event_Girdi!$A:$A,0))&lt;=Hafta_Ozet!$C6,INDEX(Event_Girdi!$D:$D,MATCH($A33,Event_Girdi!$A:$A,0))&gt;=Hafta_Ozet!$B6),"ACTIVE","")))</f>
      </c>
      <c r="I33">
        <f>IF($A33="","",IF(Hafta_Ozet!$B7="","",IF(AND(INDEX(Event_Girdi!$C:$C,MATCH($A33,Event_Girdi!$A:$A,0))&lt;=Hafta_Ozet!$C7,INDEX(Event_Girdi!$D:$D,MATCH($A33,Event_Girdi!$A:$A,0))&gt;=Hafta_Ozet!$B7),"ACTIVE","")))</f>
      </c>
      <c r="J33">
        <f>IF($A33="","",IF(Hafta_Ozet!$B8="","",IF(AND(INDEX(Event_Girdi!$C:$C,MATCH($A33,Event_Girdi!$A:$A,0))&lt;=Hafta_Ozet!$C8,INDEX(Event_Girdi!$D:$D,MATCH($A33,Event_Girdi!$A:$A,0))&gt;=Hafta_Ozet!$B8),"ACTIVE","")))</f>
      </c>
      <c r="K33">
        <f>IF($A33="","",IF(Hafta_Ozet!$B9="","",IF(AND(INDEX(Event_Girdi!$C:$C,MATCH($A33,Event_Girdi!$A:$A,0))&lt;=Hafta_Ozet!$C9,INDEX(Event_Girdi!$D:$D,MATCH($A33,Event_Girdi!$A:$A,0))&gt;=Hafta_Ozet!$B9),"ACTIVE","")))</f>
      </c>
      <c r="L33">
        <f>IF($A33="","",IF(Hafta_Ozet!$B10="","",IF(AND(INDEX(Event_Girdi!$C:$C,MATCH($A33,Event_Girdi!$A:$A,0))&lt;=Hafta_Ozet!$C10,INDEX(Event_Girdi!$D:$D,MATCH($A33,Event_Girdi!$A:$A,0))&gt;=Hafta_Ozet!$B10),"ACTIVE","")))</f>
      </c>
      <c r="M33">
        <f>IF($A33="","",IF(Hafta_Ozet!$B11="","",IF(AND(INDEX(Event_Girdi!$C:$C,MATCH($A33,Event_Girdi!$A:$A,0))&lt;=Hafta_Ozet!$C11,INDEX(Event_Girdi!$D:$D,MATCH($A33,Event_Girdi!$A:$A,0))&gt;=Hafta_Ozet!$B11),"ACTIVE","")))</f>
      </c>
      <c r="N33">
        <f>IF($A33="","",IF(Hafta_Ozet!$B12="","",IF(AND(INDEX(Event_Girdi!$C:$C,MATCH($A33,Event_Girdi!$A:$A,0))&lt;=Hafta_Ozet!$C12,INDEX(Event_Girdi!$D:$D,MATCH($A33,Event_Girdi!$A:$A,0))&gt;=Hafta_Ozet!$B12),"ACTIVE","")))</f>
      </c>
      <c r="O33">
        <f>IF($A33="","",IF(Hafta_Ozet!$B13="","",IF(AND(INDEX(Event_Girdi!$C:$C,MATCH($A33,Event_Girdi!$A:$A,0))&lt;=Hafta_Ozet!$C13,INDEX(Event_Girdi!$D:$D,MATCH($A33,Event_Girdi!$A:$A,0))&gt;=Hafta_Ozet!$B13),"ACTIVE","")))</f>
      </c>
      <c r="P33">
        <f>IF($A33="","",IF(Hafta_Ozet!$B14="","",IF(AND(INDEX(Event_Girdi!$C:$C,MATCH($A33,Event_Girdi!$A:$A,0))&lt;=Hafta_Ozet!$C14,INDEX(Event_Girdi!$D:$D,MATCH($A33,Event_Girdi!$A:$A,0))&gt;=Hafta_Ozet!$B14),"ACTIVE","")))</f>
      </c>
      <c r="Q33">
        <f>IF($A33="","",IF(Hafta_Ozet!$B15="","",IF(AND(INDEX(Event_Girdi!$C:$C,MATCH($A33,Event_Girdi!$A:$A,0))&lt;=Hafta_Ozet!$C15,INDEX(Event_Girdi!$D:$D,MATCH($A33,Event_Girdi!$A:$A,0))&gt;=Hafta_Ozet!$B15),"ACTIVE","")))</f>
      </c>
      <c r="R33">
        <f>IF($A33="","",IF(Hafta_Ozet!$B16="","",IF(AND(INDEX(Event_Girdi!$C:$C,MATCH($A33,Event_Girdi!$A:$A,0))&lt;=Hafta_Ozet!$C16,INDEX(Event_Girdi!$D:$D,MATCH($A33,Event_Girdi!$A:$A,0))&gt;=Hafta_Ozet!$B16),"ACTIVE","")))</f>
      </c>
      <c r="S33">
        <f>IF($A33="","",IF(Hafta_Ozet!$B17="","",IF(AND(INDEX(Event_Girdi!$C:$C,MATCH($A33,Event_Girdi!$A:$A,0))&lt;=Hafta_Ozet!$C17,INDEX(Event_Girdi!$D:$D,MATCH($A33,Event_Girdi!$A:$A,0))&gt;=Hafta_Ozet!$B17),"ACTIVE","")))</f>
      </c>
      <c r="T33">
        <f>IF($A33="","",IF(Hafta_Ozet!$B18="","",IF(AND(INDEX(Event_Girdi!$C:$C,MATCH($A33,Event_Girdi!$A:$A,0))&lt;=Hafta_Ozet!$C18,INDEX(Event_Girdi!$D:$D,MATCH($A33,Event_Girdi!$A:$A,0))&gt;=Hafta_Ozet!$B18),"ACTIVE","")))</f>
      </c>
      <c r="U33">
        <f>IF($A33="","",IF(Hafta_Ozet!$B19="","",IF(AND(INDEX(Event_Girdi!$C:$C,MATCH($A33,Event_Girdi!$A:$A,0))&lt;=Hafta_Ozet!$C19,INDEX(Event_Girdi!$D:$D,MATCH($A33,Event_Girdi!$A:$A,0))&gt;=Hafta_Ozet!$B19),"ACTIVE","")))</f>
      </c>
      <c r="V33">
        <f>IF($A33="","",IF(Hafta_Ozet!$B20="","",IF(AND(INDEX(Event_Girdi!$C:$C,MATCH($A33,Event_Girdi!$A:$A,0))&lt;=Hafta_Ozet!$C20,INDEX(Event_Girdi!$D:$D,MATCH($A33,Event_Girdi!$A:$A,0))&gt;=Hafta_Ozet!$B20),"ACTIVE","")))</f>
      </c>
      <c r="W33">
        <f>IF($A33="","",IF(Hafta_Ozet!$B21="","",IF(AND(INDEX(Event_Girdi!$C:$C,MATCH($A33,Event_Girdi!$A:$A,0))&lt;=Hafta_Ozet!$C21,INDEX(Event_Girdi!$D:$D,MATCH($A33,Event_Girdi!$A:$A,0))&gt;=Hafta_Ozet!$B21),"ACTIVE","")))</f>
      </c>
    </row>
    <row r="34">
      <c r="A34">
        <f>IFERROR(INDEX(FILTER(Event_Girdi!$A$2:$A,Event_Girdi!$G$2:$G="Evet"),3),"")</f>
      </c>
      <c r="B34">
        <f>IF($A34="","",INDEX(Event_Girdi!$B:$B,MATCH($A34,Event_Girdi!$A:$A,0)))</f>
      </c>
      <c r="C34">
        <f>IF($A34="","",INDEX(Event_Girdi!$E:$E,MATCH($A34,Event_Girdi!$A:$A,0)))</f>
      </c>
      <c r="D34">
        <f>IF($A34="","",IF(Hafta_Ozet!$B2="","",IF(AND(INDEX(Event_Girdi!$C:$C,MATCH($A34,Event_Girdi!$A:$A,0))&lt;=Hafta_Ozet!$C2,INDEX(Event_Girdi!$D:$D,MATCH($A34,Event_Girdi!$A:$A,0))&gt;=Hafta_Ozet!$B2),"ACTIVE","")))</f>
      </c>
      <c r="E34">
        <f>IF($A34="","",IF(Hafta_Ozet!$B3="","",IF(AND(INDEX(Event_Girdi!$C:$C,MATCH($A34,Event_Girdi!$A:$A,0))&lt;=Hafta_Ozet!$C3,INDEX(Event_Girdi!$D:$D,MATCH($A34,Event_Girdi!$A:$A,0))&gt;=Hafta_Ozet!$B3),"ACTIVE","")))</f>
      </c>
      <c r="F34">
        <f>IF($A34="","",IF(Hafta_Ozet!$B4="","",IF(AND(INDEX(Event_Girdi!$C:$C,MATCH($A34,Event_Girdi!$A:$A,0))&lt;=Hafta_Ozet!$C4,INDEX(Event_Girdi!$D:$D,MATCH($A34,Event_Girdi!$A:$A,0))&gt;=Hafta_Ozet!$B4),"ACTIVE","")))</f>
      </c>
      <c r="G34">
        <f>IF($A34="","",IF(Hafta_Ozet!$B5="","",IF(AND(INDEX(Event_Girdi!$C:$C,MATCH($A34,Event_Girdi!$A:$A,0))&lt;=Hafta_Ozet!$C5,INDEX(Event_Girdi!$D:$D,MATCH($A34,Event_Girdi!$A:$A,0))&gt;=Hafta_Ozet!$B5),"ACTIVE","")))</f>
      </c>
      <c r="H34">
        <f>IF($A34="","",IF(Hafta_Ozet!$B6="","",IF(AND(INDEX(Event_Girdi!$C:$C,MATCH($A34,Event_Girdi!$A:$A,0))&lt;=Hafta_Ozet!$C6,INDEX(Event_Girdi!$D:$D,MATCH($A34,Event_Girdi!$A:$A,0))&gt;=Hafta_Ozet!$B6),"ACTIVE","")))</f>
      </c>
      <c r="I34">
        <f>IF($A34="","",IF(Hafta_Ozet!$B7="","",IF(AND(INDEX(Event_Girdi!$C:$C,MATCH($A34,Event_Girdi!$A:$A,0))&lt;=Hafta_Ozet!$C7,INDEX(Event_Girdi!$D:$D,MATCH($A34,Event_Girdi!$A:$A,0))&gt;=Hafta_Ozet!$B7),"ACTIVE","")))</f>
      </c>
      <c r="J34">
        <f>IF($A34="","",IF(Hafta_Ozet!$B8="","",IF(AND(INDEX(Event_Girdi!$C:$C,MATCH($A34,Event_Girdi!$A:$A,0))&lt;=Hafta_Ozet!$C8,INDEX(Event_Girdi!$D:$D,MATCH($A34,Event_Girdi!$A:$A,0))&gt;=Hafta_Ozet!$B8),"ACTIVE","")))</f>
      </c>
      <c r="K34">
        <f>IF($A34="","",IF(Hafta_Ozet!$B9="","",IF(AND(INDEX(Event_Girdi!$C:$C,MATCH($A34,Event_Girdi!$A:$A,0))&lt;=Hafta_Ozet!$C9,INDEX(Event_Girdi!$D:$D,MATCH($A34,Event_Girdi!$A:$A,0))&gt;=Hafta_Ozet!$B9),"ACTIVE","")))</f>
      </c>
      <c r="L34">
        <f>IF($A34="","",IF(Hafta_Ozet!$B10="","",IF(AND(INDEX(Event_Girdi!$C:$C,MATCH($A34,Event_Girdi!$A:$A,0))&lt;=Hafta_Ozet!$C10,INDEX(Event_Girdi!$D:$D,MATCH($A34,Event_Girdi!$A:$A,0))&gt;=Hafta_Ozet!$B10),"ACTIVE","")))</f>
      </c>
      <c r="M34">
        <f>IF($A34="","",IF(Hafta_Ozet!$B11="","",IF(AND(INDEX(Event_Girdi!$C:$C,MATCH($A34,Event_Girdi!$A:$A,0))&lt;=Hafta_Ozet!$C11,INDEX(Event_Girdi!$D:$D,MATCH($A34,Event_Girdi!$A:$A,0))&gt;=Hafta_Ozet!$B11),"ACTIVE","")))</f>
      </c>
      <c r="N34">
        <f>IF($A34="","",IF(Hafta_Ozet!$B12="","",IF(AND(INDEX(Event_Girdi!$C:$C,MATCH($A34,Event_Girdi!$A:$A,0))&lt;=Hafta_Ozet!$C12,INDEX(Event_Girdi!$D:$D,MATCH($A34,Event_Girdi!$A:$A,0))&gt;=Hafta_Ozet!$B12),"ACTIVE","")))</f>
      </c>
      <c r="O34">
        <f>IF($A34="","",IF(Hafta_Ozet!$B13="","",IF(AND(INDEX(Event_Girdi!$C:$C,MATCH($A34,Event_Girdi!$A:$A,0))&lt;=Hafta_Ozet!$C13,INDEX(Event_Girdi!$D:$D,MATCH($A34,Event_Girdi!$A:$A,0))&gt;=Hafta_Ozet!$B13),"ACTIVE","")))</f>
      </c>
      <c r="P34">
        <f>IF($A34="","",IF(Hafta_Ozet!$B14="","",IF(AND(INDEX(Event_Girdi!$C:$C,MATCH($A34,Event_Girdi!$A:$A,0))&lt;=Hafta_Ozet!$C14,INDEX(Event_Girdi!$D:$D,MATCH($A34,Event_Girdi!$A:$A,0))&gt;=Hafta_Ozet!$B14),"ACTIVE","")))</f>
      </c>
      <c r="Q34">
        <f>IF($A34="","",IF(Hafta_Ozet!$B15="","",IF(AND(INDEX(Event_Girdi!$C:$C,MATCH($A34,Event_Girdi!$A:$A,0))&lt;=Hafta_Ozet!$C15,INDEX(Event_Girdi!$D:$D,MATCH($A34,Event_Girdi!$A:$A,0))&gt;=Hafta_Ozet!$B15),"ACTIVE","")))</f>
      </c>
      <c r="R34">
        <f>IF($A34="","",IF(Hafta_Ozet!$B16="","",IF(AND(INDEX(Event_Girdi!$C:$C,MATCH($A34,Event_Girdi!$A:$A,0))&lt;=Hafta_Ozet!$C16,INDEX(Event_Girdi!$D:$D,MATCH($A34,Event_Girdi!$A:$A,0))&gt;=Hafta_Ozet!$B16),"ACTIVE","")))</f>
      </c>
      <c r="S34">
        <f>IF($A34="","",IF(Hafta_Ozet!$B17="","",IF(AND(INDEX(Event_Girdi!$C:$C,MATCH($A34,Event_Girdi!$A:$A,0))&lt;=Hafta_Ozet!$C17,INDEX(Event_Girdi!$D:$D,MATCH($A34,Event_Girdi!$A:$A,0))&gt;=Hafta_Ozet!$B17),"ACTIVE","")))</f>
      </c>
      <c r="T34">
        <f>IF($A34="","",IF(Hafta_Ozet!$B18="","",IF(AND(INDEX(Event_Girdi!$C:$C,MATCH($A34,Event_Girdi!$A:$A,0))&lt;=Hafta_Ozet!$C18,INDEX(Event_Girdi!$D:$D,MATCH($A34,Event_Girdi!$A:$A,0))&gt;=Hafta_Ozet!$B18),"ACTIVE","")))</f>
      </c>
      <c r="U34">
        <f>IF($A34="","",IF(Hafta_Ozet!$B19="","",IF(AND(INDEX(Event_Girdi!$C:$C,MATCH($A34,Event_Girdi!$A:$A,0))&lt;=Hafta_Ozet!$C19,INDEX(Event_Girdi!$D:$D,MATCH($A34,Event_Girdi!$A:$A,0))&gt;=Hafta_Ozet!$B19),"ACTIVE","")))</f>
      </c>
      <c r="V34">
        <f>IF($A34="","",IF(Hafta_Ozet!$B20="","",IF(AND(INDEX(Event_Girdi!$C:$C,MATCH($A34,Event_Girdi!$A:$A,0))&lt;=Hafta_Ozet!$C20,INDEX(Event_Girdi!$D:$D,MATCH($A34,Event_Girdi!$A:$A,0))&gt;=Hafta_Ozet!$B20),"ACTIVE","")))</f>
      </c>
      <c r="W34">
        <f>IF($A34="","",IF(Hafta_Ozet!$B21="","",IF(AND(INDEX(Event_Girdi!$C:$C,MATCH($A34,Event_Girdi!$A:$A,0))&lt;=Hafta_Ozet!$C21,INDEX(Event_Girdi!$D:$D,MATCH($A34,Event_Girdi!$A:$A,0))&gt;=Hafta_Ozet!$B21),"ACTIVE","")))</f>
      </c>
    </row>
    <row r="35">
      <c r="A35">
        <f>IFERROR(INDEX(FILTER(Event_Girdi!$A$2:$A,Event_Girdi!$G$2:$G="Evet"),4),"")</f>
      </c>
      <c r="B35">
        <f>IF($A35="","",INDEX(Event_Girdi!$B:$B,MATCH($A35,Event_Girdi!$A:$A,0)))</f>
      </c>
      <c r="C35">
        <f>IF($A35="","",INDEX(Event_Girdi!$E:$E,MATCH($A35,Event_Girdi!$A:$A,0)))</f>
      </c>
      <c r="D35">
        <f>IF($A35="","",IF(Hafta_Ozet!$B2="","",IF(AND(INDEX(Event_Girdi!$C:$C,MATCH($A35,Event_Girdi!$A:$A,0))&lt;=Hafta_Ozet!$C2,INDEX(Event_Girdi!$D:$D,MATCH($A35,Event_Girdi!$A:$A,0))&gt;=Hafta_Ozet!$B2),"ACTIVE","")))</f>
      </c>
      <c r="E35">
        <f>IF($A35="","",IF(Hafta_Ozet!$B3="","",IF(AND(INDEX(Event_Girdi!$C:$C,MATCH($A35,Event_Girdi!$A:$A,0))&lt;=Hafta_Ozet!$C3,INDEX(Event_Girdi!$D:$D,MATCH($A35,Event_Girdi!$A:$A,0))&gt;=Hafta_Ozet!$B3),"ACTIVE","")))</f>
      </c>
      <c r="F35">
        <f>IF($A35="","",IF(Hafta_Ozet!$B4="","",IF(AND(INDEX(Event_Girdi!$C:$C,MATCH($A35,Event_Girdi!$A:$A,0))&lt;=Hafta_Ozet!$C4,INDEX(Event_Girdi!$D:$D,MATCH($A35,Event_Girdi!$A:$A,0))&gt;=Hafta_Ozet!$B4),"ACTIVE","")))</f>
      </c>
      <c r="G35">
        <f>IF($A35="","",IF(Hafta_Ozet!$B5="","",IF(AND(INDEX(Event_Girdi!$C:$C,MATCH($A35,Event_Girdi!$A:$A,0))&lt;=Hafta_Ozet!$C5,INDEX(Event_Girdi!$D:$D,MATCH($A35,Event_Girdi!$A:$A,0))&gt;=Hafta_Ozet!$B5),"ACTIVE","")))</f>
      </c>
      <c r="H35">
        <f>IF($A35="","",IF(Hafta_Ozet!$B6="","",IF(AND(INDEX(Event_Girdi!$C:$C,MATCH($A35,Event_Girdi!$A:$A,0))&lt;=Hafta_Ozet!$C6,INDEX(Event_Girdi!$D:$D,MATCH($A35,Event_Girdi!$A:$A,0))&gt;=Hafta_Ozet!$B6),"ACTIVE","")))</f>
      </c>
      <c r="I35">
        <f>IF($A35="","",IF(Hafta_Ozet!$B7="","",IF(AND(INDEX(Event_Girdi!$C:$C,MATCH($A35,Event_Girdi!$A:$A,0))&lt;=Hafta_Ozet!$C7,INDEX(Event_Girdi!$D:$D,MATCH($A35,Event_Girdi!$A:$A,0))&gt;=Hafta_Ozet!$B7),"ACTIVE","")))</f>
      </c>
      <c r="J35">
        <f>IF($A35="","",IF(Hafta_Ozet!$B8="","",IF(AND(INDEX(Event_Girdi!$C:$C,MATCH($A35,Event_Girdi!$A:$A,0))&lt;=Hafta_Ozet!$C8,INDEX(Event_Girdi!$D:$D,MATCH($A35,Event_Girdi!$A:$A,0))&gt;=Hafta_Ozet!$B8),"ACTIVE","")))</f>
      </c>
      <c r="K35">
        <f>IF($A35="","",IF(Hafta_Ozet!$B9="","",IF(AND(INDEX(Event_Girdi!$C:$C,MATCH($A35,Event_Girdi!$A:$A,0))&lt;=Hafta_Ozet!$C9,INDEX(Event_Girdi!$D:$D,MATCH($A35,Event_Girdi!$A:$A,0))&gt;=Hafta_Ozet!$B9),"ACTIVE","")))</f>
      </c>
      <c r="L35">
        <f>IF($A35="","",IF(Hafta_Ozet!$B10="","",IF(AND(INDEX(Event_Girdi!$C:$C,MATCH($A35,Event_Girdi!$A:$A,0))&lt;=Hafta_Ozet!$C10,INDEX(Event_Girdi!$D:$D,MATCH($A35,Event_Girdi!$A:$A,0))&gt;=Hafta_Ozet!$B10),"ACTIVE","")))</f>
      </c>
      <c r="M35">
        <f>IF($A35="","",IF(Hafta_Ozet!$B11="","",IF(AND(INDEX(Event_Girdi!$C:$C,MATCH($A35,Event_Girdi!$A:$A,0))&lt;=Hafta_Ozet!$C11,INDEX(Event_Girdi!$D:$D,MATCH($A35,Event_Girdi!$A:$A,0))&gt;=Hafta_Ozet!$B11),"ACTIVE","")))</f>
      </c>
      <c r="N35">
        <f>IF($A35="","",IF(Hafta_Ozet!$B12="","",IF(AND(INDEX(Event_Girdi!$C:$C,MATCH($A35,Event_Girdi!$A:$A,0))&lt;=Hafta_Ozet!$C12,INDEX(Event_Girdi!$D:$D,MATCH($A35,Event_Girdi!$A:$A,0))&gt;=Hafta_Ozet!$B12),"ACTIVE","")))</f>
      </c>
      <c r="O35">
        <f>IF($A35="","",IF(Hafta_Ozet!$B13="","",IF(AND(INDEX(Event_Girdi!$C:$C,MATCH($A35,Event_Girdi!$A:$A,0))&lt;=Hafta_Ozet!$C13,INDEX(Event_Girdi!$D:$D,MATCH($A35,Event_Girdi!$A:$A,0))&gt;=Hafta_Ozet!$B13),"ACTIVE","")))</f>
      </c>
      <c r="P35">
        <f>IF($A35="","",IF(Hafta_Ozet!$B14="","",IF(AND(INDEX(Event_Girdi!$C:$C,MATCH($A35,Event_Girdi!$A:$A,0))&lt;=Hafta_Ozet!$C14,INDEX(Event_Girdi!$D:$D,MATCH($A35,Event_Girdi!$A:$A,0))&gt;=Hafta_Ozet!$B14),"ACTIVE","")))</f>
      </c>
      <c r="Q35">
        <f>IF($A35="","",IF(Hafta_Ozet!$B15="","",IF(AND(INDEX(Event_Girdi!$C:$C,MATCH($A35,Event_Girdi!$A:$A,0))&lt;=Hafta_Ozet!$C15,INDEX(Event_Girdi!$D:$D,MATCH($A35,Event_Girdi!$A:$A,0))&gt;=Hafta_Ozet!$B15),"ACTIVE","")))</f>
      </c>
      <c r="R35">
        <f>IF($A35="","",IF(Hafta_Ozet!$B16="","",IF(AND(INDEX(Event_Girdi!$C:$C,MATCH($A35,Event_Girdi!$A:$A,0))&lt;=Hafta_Ozet!$C16,INDEX(Event_Girdi!$D:$D,MATCH($A35,Event_Girdi!$A:$A,0))&gt;=Hafta_Ozet!$B16),"ACTIVE","")))</f>
      </c>
      <c r="S35">
        <f>IF($A35="","",IF(Hafta_Ozet!$B17="","",IF(AND(INDEX(Event_Girdi!$C:$C,MATCH($A35,Event_Girdi!$A:$A,0))&lt;=Hafta_Ozet!$C17,INDEX(Event_Girdi!$D:$D,MATCH($A35,Event_Girdi!$A:$A,0))&gt;=Hafta_Ozet!$B17),"ACTIVE","")))</f>
      </c>
      <c r="T35">
        <f>IF($A35="","",IF(Hafta_Ozet!$B18="","",IF(AND(INDEX(Event_Girdi!$C:$C,MATCH($A35,Event_Girdi!$A:$A,0))&lt;=Hafta_Ozet!$C18,INDEX(Event_Girdi!$D:$D,MATCH($A35,Event_Girdi!$A:$A,0))&gt;=Hafta_Ozet!$B18),"ACTIVE","")))</f>
      </c>
      <c r="U35">
        <f>IF($A35="","",IF(Hafta_Ozet!$B19="","",IF(AND(INDEX(Event_Girdi!$C:$C,MATCH($A35,Event_Girdi!$A:$A,0))&lt;=Hafta_Ozet!$C19,INDEX(Event_Girdi!$D:$D,MATCH($A35,Event_Girdi!$A:$A,0))&gt;=Hafta_Ozet!$B19),"ACTIVE","")))</f>
      </c>
      <c r="V35">
        <f>IF($A35="","",IF(Hafta_Ozet!$B20="","",IF(AND(INDEX(Event_Girdi!$C:$C,MATCH($A35,Event_Girdi!$A:$A,0))&lt;=Hafta_Ozet!$C20,INDEX(Event_Girdi!$D:$D,MATCH($A35,Event_Girdi!$A:$A,0))&gt;=Hafta_Ozet!$B20),"ACTIVE","")))</f>
      </c>
      <c r="W35">
        <f>IF($A35="","",IF(Hafta_Ozet!$B21="","",IF(AND(INDEX(Event_Girdi!$C:$C,MATCH($A35,Event_Girdi!$A:$A,0))&lt;=Hafta_Ozet!$C21,INDEX(Event_Girdi!$D:$D,MATCH($A35,Event_Girdi!$A:$A,0))&gt;=Hafta_Ozet!$B21),"ACTIVE","")))</f>
      </c>
    </row>
    <row r="36">
      <c r="A36">
        <f>IFERROR(INDEX(FILTER(Event_Girdi!$A$2:$A,Event_Girdi!$G$2:$G="Evet"),5),"")</f>
      </c>
      <c r="B36">
        <f>IF($A36="","",INDEX(Event_Girdi!$B:$B,MATCH($A36,Event_Girdi!$A:$A,0)))</f>
      </c>
      <c r="C36">
        <f>IF($A36="","",INDEX(Event_Girdi!$E:$E,MATCH($A36,Event_Girdi!$A:$A,0)))</f>
      </c>
      <c r="D36">
        <f>IF($A36="","",IF(Hafta_Ozet!$B2="","",IF(AND(INDEX(Event_Girdi!$C:$C,MATCH($A36,Event_Girdi!$A:$A,0))&lt;=Hafta_Ozet!$C2,INDEX(Event_Girdi!$D:$D,MATCH($A36,Event_Girdi!$A:$A,0))&gt;=Hafta_Ozet!$B2),"ACTIVE","")))</f>
      </c>
      <c r="E36">
        <f>IF($A36="","",IF(Hafta_Ozet!$B3="","",IF(AND(INDEX(Event_Girdi!$C:$C,MATCH($A36,Event_Girdi!$A:$A,0))&lt;=Hafta_Ozet!$C3,INDEX(Event_Girdi!$D:$D,MATCH($A36,Event_Girdi!$A:$A,0))&gt;=Hafta_Ozet!$B3),"ACTIVE","")))</f>
      </c>
      <c r="F36">
        <f>IF($A36="","",IF(Hafta_Ozet!$B4="","",IF(AND(INDEX(Event_Girdi!$C:$C,MATCH($A36,Event_Girdi!$A:$A,0))&lt;=Hafta_Ozet!$C4,INDEX(Event_Girdi!$D:$D,MATCH($A36,Event_Girdi!$A:$A,0))&gt;=Hafta_Ozet!$B4),"ACTIVE","")))</f>
      </c>
      <c r="G36">
        <f>IF($A36="","",IF(Hafta_Ozet!$B5="","",IF(AND(INDEX(Event_Girdi!$C:$C,MATCH($A36,Event_Girdi!$A:$A,0))&lt;=Hafta_Ozet!$C5,INDEX(Event_Girdi!$D:$D,MATCH($A36,Event_Girdi!$A:$A,0))&gt;=Hafta_Ozet!$B5),"ACTIVE","")))</f>
      </c>
      <c r="H36">
        <f>IF($A36="","",IF(Hafta_Ozet!$B6="","",IF(AND(INDEX(Event_Girdi!$C:$C,MATCH($A36,Event_Girdi!$A:$A,0))&lt;=Hafta_Ozet!$C6,INDEX(Event_Girdi!$D:$D,MATCH($A36,Event_Girdi!$A:$A,0))&gt;=Hafta_Ozet!$B6),"ACTIVE","")))</f>
      </c>
      <c r="I36">
        <f>IF($A36="","",IF(Hafta_Ozet!$B7="","",IF(AND(INDEX(Event_Girdi!$C:$C,MATCH($A36,Event_Girdi!$A:$A,0))&lt;=Hafta_Ozet!$C7,INDEX(Event_Girdi!$D:$D,MATCH($A36,Event_Girdi!$A:$A,0))&gt;=Hafta_Ozet!$B7),"ACTIVE","")))</f>
      </c>
      <c r="J36">
        <f>IF($A36="","",IF(Hafta_Ozet!$B8="","",IF(AND(INDEX(Event_Girdi!$C:$C,MATCH($A36,Event_Girdi!$A:$A,0))&lt;=Hafta_Ozet!$C8,INDEX(Event_Girdi!$D:$D,MATCH($A36,Event_Girdi!$A:$A,0))&gt;=Hafta_Ozet!$B8),"ACTIVE","")))</f>
      </c>
      <c r="K36">
        <f>IF($A36="","",IF(Hafta_Ozet!$B9="","",IF(AND(INDEX(Event_Girdi!$C:$C,MATCH($A36,Event_Girdi!$A:$A,0))&lt;=Hafta_Ozet!$C9,INDEX(Event_Girdi!$D:$D,MATCH($A36,Event_Girdi!$A:$A,0))&gt;=Hafta_Ozet!$B9),"ACTIVE","")))</f>
      </c>
      <c r="L36">
        <f>IF($A36="","",IF(Hafta_Ozet!$B10="","",IF(AND(INDEX(Event_Girdi!$C:$C,MATCH($A36,Event_Girdi!$A:$A,0))&lt;=Hafta_Ozet!$C10,INDEX(Event_Girdi!$D:$D,MATCH($A36,Event_Girdi!$A:$A,0))&gt;=Hafta_Ozet!$B10),"ACTIVE","")))</f>
      </c>
      <c r="M36">
        <f>IF($A36="","",IF(Hafta_Ozet!$B11="","",IF(AND(INDEX(Event_Girdi!$C:$C,MATCH($A36,Event_Girdi!$A:$A,0))&lt;=Hafta_Ozet!$C11,INDEX(Event_Girdi!$D:$D,MATCH($A36,Event_Girdi!$A:$A,0))&gt;=Hafta_Ozet!$B11),"ACTIVE","")))</f>
      </c>
      <c r="N36">
        <f>IF($A36="","",IF(Hafta_Ozet!$B12="","",IF(AND(INDEX(Event_Girdi!$C:$C,MATCH($A36,Event_Girdi!$A:$A,0))&lt;=Hafta_Ozet!$C12,INDEX(Event_Girdi!$D:$D,MATCH($A36,Event_Girdi!$A:$A,0))&gt;=Hafta_Ozet!$B12),"ACTIVE","")))</f>
      </c>
      <c r="O36">
        <f>IF($A36="","",IF(Hafta_Ozet!$B13="","",IF(AND(INDEX(Event_Girdi!$C:$C,MATCH($A36,Event_Girdi!$A:$A,0))&lt;=Hafta_Ozet!$C13,INDEX(Event_Girdi!$D:$D,MATCH($A36,Event_Girdi!$A:$A,0))&gt;=Hafta_Ozet!$B13),"ACTIVE","")))</f>
      </c>
      <c r="P36">
        <f>IF($A36="","",IF(Hafta_Ozet!$B14="","",IF(AND(INDEX(Event_Girdi!$C:$C,MATCH($A36,Event_Girdi!$A:$A,0))&lt;=Hafta_Ozet!$C14,INDEX(Event_Girdi!$D:$D,MATCH($A36,Event_Girdi!$A:$A,0))&gt;=Hafta_Ozet!$B14),"ACTIVE","")))</f>
      </c>
      <c r="Q36">
        <f>IF($A36="","",IF(Hafta_Ozet!$B15="","",IF(AND(INDEX(Event_Girdi!$C:$C,MATCH($A36,Event_Girdi!$A:$A,0))&lt;=Hafta_Ozet!$C15,INDEX(Event_Girdi!$D:$D,MATCH($A36,Event_Girdi!$A:$A,0))&gt;=Hafta_Ozet!$B15),"ACTIVE","")))</f>
      </c>
      <c r="R36">
        <f>IF($A36="","",IF(Hafta_Ozet!$B16="","",IF(AND(INDEX(Event_Girdi!$C:$C,MATCH($A36,Event_Girdi!$A:$A,0))&lt;=Hafta_Ozet!$C16,INDEX(Event_Girdi!$D:$D,MATCH($A36,Event_Girdi!$A:$A,0))&gt;=Hafta_Ozet!$B16),"ACTIVE","")))</f>
      </c>
      <c r="S36">
        <f>IF($A36="","",IF(Hafta_Ozet!$B17="","",IF(AND(INDEX(Event_Girdi!$C:$C,MATCH($A36,Event_Girdi!$A:$A,0))&lt;=Hafta_Ozet!$C17,INDEX(Event_Girdi!$D:$D,MATCH($A36,Event_Girdi!$A:$A,0))&gt;=Hafta_Ozet!$B17),"ACTIVE","")))</f>
      </c>
      <c r="T36">
        <f>IF($A36="","",IF(Hafta_Ozet!$B18="","",IF(AND(INDEX(Event_Girdi!$C:$C,MATCH($A36,Event_Girdi!$A:$A,0))&lt;=Hafta_Ozet!$C18,INDEX(Event_Girdi!$D:$D,MATCH($A36,Event_Girdi!$A:$A,0))&gt;=Hafta_Ozet!$B18),"ACTIVE","")))</f>
      </c>
      <c r="U36">
        <f>IF($A36="","",IF(Hafta_Ozet!$B19="","",IF(AND(INDEX(Event_Girdi!$C:$C,MATCH($A36,Event_Girdi!$A:$A,0))&lt;=Hafta_Ozet!$C19,INDEX(Event_Girdi!$D:$D,MATCH($A36,Event_Girdi!$A:$A,0))&gt;=Hafta_Ozet!$B19),"ACTIVE","")))</f>
      </c>
      <c r="V36">
        <f>IF($A36="","",IF(Hafta_Ozet!$B20="","",IF(AND(INDEX(Event_Girdi!$C:$C,MATCH($A36,Event_Girdi!$A:$A,0))&lt;=Hafta_Ozet!$C20,INDEX(Event_Girdi!$D:$D,MATCH($A36,Event_Girdi!$A:$A,0))&gt;=Hafta_Ozet!$B20),"ACTIVE","")))</f>
      </c>
      <c r="W36">
        <f>IF($A36="","",IF(Hafta_Ozet!$B21="","",IF(AND(INDEX(Event_Girdi!$C:$C,MATCH($A36,Event_Girdi!$A:$A,0))&lt;=Hafta_Ozet!$C21,INDEX(Event_Girdi!$D:$D,MATCH($A36,Event_Girdi!$A:$A,0))&gt;=Hafta_Ozet!$B21),"ACTIVE","")))</f>
      </c>
    </row>
    <row r="37">
      <c r="A37">
        <f>IFERROR(INDEX(FILTER(Event_Girdi!$A$2:$A,Event_Girdi!$G$2:$G="Evet"),6),"")</f>
      </c>
      <c r="B37">
        <f>IF($A37="","",INDEX(Event_Girdi!$B:$B,MATCH($A37,Event_Girdi!$A:$A,0)))</f>
      </c>
      <c r="C37">
        <f>IF($A37="","",INDEX(Event_Girdi!$E:$E,MATCH($A37,Event_Girdi!$A:$A,0)))</f>
      </c>
      <c r="D37">
        <f>IF($A37="","",IF(Hafta_Ozet!$B2="","",IF(AND(INDEX(Event_Girdi!$C:$C,MATCH($A37,Event_Girdi!$A:$A,0))&lt;=Hafta_Ozet!$C2,INDEX(Event_Girdi!$D:$D,MATCH($A37,Event_Girdi!$A:$A,0))&gt;=Hafta_Ozet!$B2),"ACTIVE","")))</f>
      </c>
      <c r="E37">
        <f>IF($A37="","",IF(Hafta_Ozet!$B3="","",IF(AND(INDEX(Event_Girdi!$C:$C,MATCH($A37,Event_Girdi!$A:$A,0))&lt;=Hafta_Ozet!$C3,INDEX(Event_Girdi!$D:$D,MATCH($A37,Event_Girdi!$A:$A,0))&gt;=Hafta_Ozet!$B3),"ACTIVE","")))</f>
      </c>
      <c r="F37">
        <f>IF($A37="","",IF(Hafta_Ozet!$B4="","",IF(AND(INDEX(Event_Girdi!$C:$C,MATCH($A37,Event_Girdi!$A:$A,0))&lt;=Hafta_Ozet!$C4,INDEX(Event_Girdi!$D:$D,MATCH($A37,Event_Girdi!$A:$A,0))&gt;=Hafta_Ozet!$B4),"ACTIVE","")))</f>
      </c>
      <c r="G37">
        <f>IF($A37="","",IF(Hafta_Ozet!$B5="","",IF(AND(INDEX(Event_Girdi!$C:$C,MATCH($A37,Event_Girdi!$A:$A,0))&lt;=Hafta_Ozet!$C5,INDEX(Event_Girdi!$D:$D,MATCH($A37,Event_Girdi!$A:$A,0))&gt;=Hafta_Ozet!$B5),"ACTIVE","")))</f>
      </c>
      <c r="H37">
        <f>IF($A37="","",IF(Hafta_Ozet!$B6="","",IF(AND(INDEX(Event_Girdi!$C:$C,MATCH($A37,Event_Girdi!$A:$A,0))&lt;=Hafta_Ozet!$C6,INDEX(Event_Girdi!$D:$D,MATCH($A37,Event_Girdi!$A:$A,0))&gt;=Hafta_Ozet!$B6),"ACTIVE","")))</f>
      </c>
      <c r="I37">
        <f>IF($A37="","",IF(Hafta_Ozet!$B7="","",IF(AND(INDEX(Event_Girdi!$C:$C,MATCH($A37,Event_Girdi!$A:$A,0))&lt;=Hafta_Ozet!$C7,INDEX(Event_Girdi!$D:$D,MATCH($A37,Event_Girdi!$A:$A,0))&gt;=Hafta_Ozet!$B7),"ACTIVE","")))</f>
      </c>
      <c r="J37">
        <f>IF($A37="","",IF(Hafta_Ozet!$B8="","",IF(AND(INDEX(Event_Girdi!$C:$C,MATCH($A37,Event_Girdi!$A:$A,0))&lt;=Hafta_Ozet!$C8,INDEX(Event_Girdi!$D:$D,MATCH($A37,Event_Girdi!$A:$A,0))&gt;=Hafta_Ozet!$B8),"ACTIVE","")))</f>
      </c>
      <c r="K37">
        <f>IF($A37="","",IF(Hafta_Ozet!$B9="","",IF(AND(INDEX(Event_Girdi!$C:$C,MATCH($A37,Event_Girdi!$A:$A,0))&lt;=Hafta_Ozet!$C9,INDEX(Event_Girdi!$D:$D,MATCH($A37,Event_Girdi!$A:$A,0))&gt;=Hafta_Ozet!$B9),"ACTIVE","")))</f>
      </c>
      <c r="L37">
        <f>IF($A37="","",IF(Hafta_Ozet!$B10="","",IF(AND(INDEX(Event_Girdi!$C:$C,MATCH($A37,Event_Girdi!$A:$A,0))&lt;=Hafta_Ozet!$C10,INDEX(Event_Girdi!$D:$D,MATCH($A37,Event_Girdi!$A:$A,0))&gt;=Hafta_Ozet!$B10),"ACTIVE","")))</f>
      </c>
      <c r="M37">
        <f>IF($A37="","",IF(Hafta_Ozet!$B11="","",IF(AND(INDEX(Event_Girdi!$C:$C,MATCH($A37,Event_Girdi!$A:$A,0))&lt;=Hafta_Ozet!$C11,INDEX(Event_Girdi!$D:$D,MATCH($A37,Event_Girdi!$A:$A,0))&gt;=Hafta_Ozet!$B11),"ACTIVE","")))</f>
      </c>
      <c r="N37">
        <f>IF($A37="","",IF(Hafta_Ozet!$B12="","",IF(AND(INDEX(Event_Girdi!$C:$C,MATCH($A37,Event_Girdi!$A:$A,0))&lt;=Hafta_Ozet!$C12,INDEX(Event_Girdi!$D:$D,MATCH($A37,Event_Girdi!$A:$A,0))&gt;=Hafta_Ozet!$B12),"ACTIVE","")))</f>
      </c>
      <c r="O37">
        <f>IF($A37="","",IF(Hafta_Ozet!$B13="","",IF(AND(INDEX(Event_Girdi!$C:$C,MATCH($A37,Event_Girdi!$A:$A,0))&lt;=Hafta_Ozet!$C13,INDEX(Event_Girdi!$D:$D,MATCH($A37,Event_Girdi!$A:$A,0))&gt;=Hafta_Ozet!$B13),"ACTIVE","")))</f>
      </c>
      <c r="P37">
        <f>IF($A37="","",IF(Hafta_Ozet!$B14="","",IF(AND(INDEX(Event_Girdi!$C:$C,MATCH($A37,Event_Girdi!$A:$A,0))&lt;=Hafta_Ozet!$C14,INDEX(Event_Girdi!$D:$D,MATCH($A37,Event_Girdi!$A:$A,0))&gt;=Hafta_Ozet!$B14),"ACTIVE","")))</f>
      </c>
      <c r="Q37">
        <f>IF($A37="","",IF(Hafta_Ozet!$B15="","",IF(AND(INDEX(Event_Girdi!$C:$C,MATCH($A37,Event_Girdi!$A:$A,0))&lt;=Hafta_Ozet!$C15,INDEX(Event_Girdi!$D:$D,MATCH($A37,Event_Girdi!$A:$A,0))&gt;=Hafta_Ozet!$B15),"ACTIVE","")))</f>
      </c>
      <c r="R37">
        <f>IF($A37="","",IF(Hafta_Ozet!$B16="","",IF(AND(INDEX(Event_Girdi!$C:$C,MATCH($A37,Event_Girdi!$A:$A,0))&lt;=Hafta_Ozet!$C16,INDEX(Event_Girdi!$D:$D,MATCH($A37,Event_Girdi!$A:$A,0))&gt;=Hafta_Ozet!$B16),"ACTIVE","")))</f>
      </c>
      <c r="S37">
        <f>IF($A37="","",IF(Hafta_Ozet!$B17="","",IF(AND(INDEX(Event_Girdi!$C:$C,MATCH($A37,Event_Girdi!$A:$A,0))&lt;=Hafta_Ozet!$C17,INDEX(Event_Girdi!$D:$D,MATCH($A37,Event_Girdi!$A:$A,0))&gt;=Hafta_Ozet!$B17),"ACTIVE","")))</f>
      </c>
      <c r="T37">
        <f>IF($A37="","",IF(Hafta_Ozet!$B18="","",IF(AND(INDEX(Event_Girdi!$C:$C,MATCH($A37,Event_Girdi!$A:$A,0))&lt;=Hafta_Ozet!$C18,INDEX(Event_Girdi!$D:$D,MATCH($A37,Event_Girdi!$A:$A,0))&gt;=Hafta_Ozet!$B18),"ACTIVE","")))</f>
      </c>
      <c r="U37">
        <f>IF($A37="","",IF(Hafta_Ozet!$B19="","",IF(AND(INDEX(Event_Girdi!$C:$C,MATCH($A37,Event_Girdi!$A:$A,0))&lt;=Hafta_Ozet!$C19,INDEX(Event_Girdi!$D:$D,MATCH($A37,Event_Girdi!$A:$A,0))&gt;=Hafta_Ozet!$B19),"ACTIVE","")))</f>
      </c>
      <c r="V37">
        <f>IF($A37="","",IF(Hafta_Ozet!$B20="","",IF(AND(INDEX(Event_Girdi!$C:$C,MATCH($A37,Event_Girdi!$A:$A,0))&lt;=Hafta_Ozet!$C20,INDEX(Event_Girdi!$D:$D,MATCH($A37,Event_Girdi!$A:$A,0))&gt;=Hafta_Ozet!$B20),"ACTIVE","")))</f>
      </c>
      <c r="W37">
        <f>IF($A37="","",IF(Hafta_Ozet!$B21="","",IF(AND(INDEX(Event_Girdi!$C:$C,MATCH($A37,Event_Girdi!$A:$A,0))&lt;=Hafta_Ozet!$C21,INDEX(Event_Girdi!$D:$D,MATCH($A37,Event_Girdi!$A:$A,0))&gt;=Hafta_Ozet!$B21),"ACTIVE","")))</f>
      </c>
    </row>
    <row r="38">
      <c r="A38">
        <f>IFERROR(INDEX(FILTER(Event_Girdi!$A$2:$A,Event_Girdi!$G$2:$G="Evet"),7),"")</f>
      </c>
      <c r="B38">
        <f>IF($A38="","",INDEX(Event_Girdi!$B:$B,MATCH($A38,Event_Girdi!$A:$A,0)))</f>
      </c>
      <c r="C38">
        <f>IF($A38="","",INDEX(Event_Girdi!$E:$E,MATCH($A38,Event_Girdi!$A:$A,0)))</f>
      </c>
      <c r="D38">
        <f>IF($A38="","",IF(Hafta_Ozet!$B2="","",IF(AND(INDEX(Event_Girdi!$C:$C,MATCH($A38,Event_Girdi!$A:$A,0))&lt;=Hafta_Ozet!$C2,INDEX(Event_Girdi!$D:$D,MATCH($A38,Event_Girdi!$A:$A,0))&gt;=Hafta_Ozet!$B2),"ACTIVE","")))</f>
      </c>
      <c r="E38">
        <f>IF($A38="","",IF(Hafta_Ozet!$B3="","",IF(AND(INDEX(Event_Girdi!$C:$C,MATCH($A38,Event_Girdi!$A:$A,0))&lt;=Hafta_Ozet!$C3,INDEX(Event_Girdi!$D:$D,MATCH($A38,Event_Girdi!$A:$A,0))&gt;=Hafta_Ozet!$B3),"ACTIVE","")))</f>
      </c>
      <c r="F38">
        <f>IF($A38="","",IF(Hafta_Ozet!$B4="","",IF(AND(INDEX(Event_Girdi!$C:$C,MATCH($A38,Event_Girdi!$A:$A,0))&lt;=Hafta_Ozet!$C4,INDEX(Event_Girdi!$D:$D,MATCH($A38,Event_Girdi!$A:$A,0))&gt;=Hafta_Ozet!$B4),"ACTIVE","")))</f>
      </c>
      <c r="G38">
        <f>IF($A38="","",IF(Hafta_Ozet!$B5="","",IF(AND(INDEX(Event_Girdi!$C:$C,MATCH($A38,Event_Girdi!$A:$A,0))&lt;=Hafta_Ozet!$C5,INDEX(Event_Girdi!$D:$D,MATCH($A38,Event_Girdi!$A:$A,0))&gt;=Hafta_Ozet!$B5),"ACTIVE","")))</f>
      </c>
      <c r="H38">
        <f>IF($A38="","",IF(Hafta_Ozet!$B6="","",IF(AND(INDEX(Event_Girdi!$C:$C,MATCH($A38,Event_Girdi!$A:$A,0))&lt;=Hafta_Ozet!$C6,INDEX(Event_Girdi!$D:$D,MATCH($A38,Event_Girdi!$A:$A,0))&gt;=Hafta_Ozet!$B6),"ACTIVE","")))</f>
      </c>
      <c r="I38">
        <f>IF($A38="","",IF(Hafta_Ozet!$B7="","",IF(AND(INDEX(Event_Girdi!$C:$C,MATCH($A38,Event_Girdi!$A:$A,0))&lt;=Hafta_Ozet!$C7,INDEX(Event_Girdi!$D:$D,MATCH($A38,Event_Girdi!$A:$A,0))&gt;=Hafta_Ozet!$B7),"ACTIVE","")))</f>
      </c>
      <c r="J38">
        <f>IF($A38="","",IF(Hafta_Ozet!$B8="","",IF(AND(INDEX(Event_Girdi!$C:$C,MATCH($A38,Event_Girdi!$A:$A,0))&lt;=Hafta_Ozet!$C8,INDEX(Event_Girdi!$D:$D,MATCH($A38,Event_Girdi!$A:$A,0))&gt;=Hafta_Ozet!$B8),"ACTIVE","")))</f>
      </c>
      <c r="K38">
        <f>IF($A38="","",IF(Hafta_Ozet!$B9="","",IF(AND(INDEX(Event_Girdi!$C:$C,MATCH($A38,Event_Girdi!$A:$A,0))&lt;=Hafta_Ozet!$C9,INDEX(Event_Girdi!$D:$D,MATCH($A38,Event_Girdi!$A:$A,0))&gt;=Hafta_Ozet!$B9),"ACTIVE","")))</f>
      </c>
      <c r="L38">
        <f>IF($A38="","",IF(Hafta_Ozet!$B10="","",IF(AND(INDEX(Event_Girdi!$C:$C,MATCH($A38,Event_Girdi!$A:$A,0))&lt;=Hafta_Ozet!$C10,INDEX(Event_Girdi!$D:$D,MATCH($A38,Event_Girdi!$A:$A,0))&gt;=Hafta_Ozet!$B10),"ACTIVE","")))</f>
      </c>
      <c r="M38">
        <f>IF($A38="","",IF(Hafta_Ozet!$B11="","",IF(AND(INDEX(Event_Girdi!$C:$C,MATCH($A38,Event_Girdi!$A:$A,0))&lt;=Hafta_Ozet!$C11,INDEX(Event_Girdi!$D:$D,MATCH($A38,Event_Girdi!$A:$A,0))&gt;=Hafta_Ozet!$B11),"ACTIVE","")))</f>
      </c>
      <c r="N38">
        <f>IF($A38="","",IF(Hafta_Ozet!$B12="","",IF(AND(INDEX(Event_Girdi!$C:$C,MATCH($A38,Event_Girdi!$A:$A,0))&lt;=Hafta_Ozet!$C12,INDEX(Event_Girdi!$D:$D,MATCH($A38,Event_Girdi!$A:$A,0))&gt;=Hafta_Ozet!$B12),"ACTIVE","")))</f>
      </c>
      <c r="O38">
        <f>IF($A38="","",IF(Hafta_Ozet!$B13="","",IF(AND(INDEX(Event_Girdi!$C:$C,MATCH($A38,Event_Girdi!$A:$A,0))&lt;=Hafta_Ozet!$C13,INDEX(Event_Girdi!$D:$D,MATCH($A38,Event_Girdi!$A:$A,0))&gt;=Hafta_Ozet!$B13),"ACTIVE","")))</f>
      </c>
      <c r="P38">
        <f>IF($A38="","",IF(Hafta_Ozet!$B14="","",IF(AND(INDEX(Event_Girdi!$C:$C,MATCH($A38,Event_Girdi!$A:$A,0))&lt;=Hafta_Ozet!$C14,INDEX(Event_Girdi!$D:$D,MATCH($A38,Event_Girdi!$A:$A,0))&gt;=Hafta_Ozet!$B14),"ACTIVE","")))</f>
      </c>
      <c r="Q38">
        <f>IF($A38="","",IF(Hafta_Ozet!$B15="","",IF(AND(INDEX(Event_Girdi!$C:$C,MATCH($A38,Event_Girdi!$A:$A,0))&lt;=Hafta_Ozet!$C15,INDEX(Event_Girdi!$D:$D,MATCH($A38,Event_Girdi!$A:$A,0))&gt;=Hafta_Ozet!$B15),"ACTIVE","")))</f>
      </c>
      <c r="R38">
        <f>IF($A38="","",IF(Hafta_Ozet!$B16="","",IF(AND(INDEX(Event_Girdi!$C:$C,MATCH($A38,Event_Girdi!$A:$A,0))&lt;=Hafta_Ozet!$C16,INDEX(Event_Girdi!$D:$D,MATCH($A38,Event_Girdi!$A:$A,0))&gt;=Hafta_Ozet!$B16),"ACTIVE","")))</f>
      </c>
      <c r="S38">
        <f>IF($A38="","",IF(Hafta_Ozet!$B17="","",IF(AND(INDEX(Event_Girdi!$C:$C,MATCH($A38,Event_Girdi!$A:$A,0))&lt;=Hafta_Ozet!$C17,INDEX(Event_Girdi!$D:$D,MATCH($A38,Event_Girdi!$A:$A,0))&gt;=Hafta_Ozet!$B17),"ACTIVE","")))</f>
      </c>
      <c r="T38">
        <f>IF($A38="","",IF(Hafta_Ozet!$B18="","",IF(AND(INDEX(Event_Girdi!$C:$C,MATCH($A38,Event_Girdi!$A:$A,0))&lt;=Hafta_Ozet!$C18,INDEX(Event_Girdi!$D:$D,MATCH($A38,Event_Girdi!$A:$A,0))&gt;=Hafta_Ozet!$B18),"ACTIVE","")))</f>
      </c>
      <c r="U38">
        <f>IF($A38="","",IF(Hafta_Ozet!$B19="","",IF(AND(INDEX(Event_Girdi!$C:$C,MATCH($A38,Event_Girdi!$A:$A,0))&lt;=Hafta_Ozet!$C19,INDEX(Event_Girdi!$D:$D,MATCH($A38,Event_Girdi!$A:$A,0))&gt;=Hafta_Ozet!$B19),"ACTIVE","")))</f>
      </c>
      <c r="V38">
        <f>IF($A38="","",IF(Hafta_Ozet!$B20="","",IF(AND(INDEX(Event_Girdi!$C:$C,MATCH($A38,Event_Girdi!$A:$A,0))&lt;=Hafta_Ozet!$C20,INDEX(Event_Girdi!$D:$D,MATCH($A38,Event_Girdi!$A:$A,0))&gt;=Hafta_Ozet!$B20),"ACTIVE","")))</f>
      </c>
      <c r="W38">
        <f>IF($A38="","",IF(Hafta_Ozet!$B21="","",IF(AND(INDEX(Event_Girdi!$C:$C,MATCH($A38,Event_Girdi!$A:$A,0))&lt;=Hafta_Ozet!$C21,INDEX(Event_Girdi!$D:$D,MATCH($A38,Event_Girdi!$A:$A,0))&gt;=Hafta_Ozet!$B21),"ACTIVE","")))</f>
      </c>
    </row>
    <row r="39">
      <c r="A39">
        <f>IFERROR(INDEX(FILTER(Event_Girdi!$A$2:$A,Event_Girdi!$G$2:$G="Evet"),8),"")</f>
      </c>
      <c r="B39">
        <f>IF($A39="","",INDEX(Event_Girdi!$B:$B,MATCH($A39,Event_Girdi!$A:$A,0)))</f>
      </c>
      <c r="C39">
        <f>IF($A39="","",INDEX(Event_Girdi!$E:$E,MATCH($A39,Event_Girdi!$A:$A,0)))</f>
      </c>
      <c r="D39">
        <f>IF($A39="","",IF(Hafta_Ozet!$B2="","",IF(AND(INDEX(Event_Girdi!$C:$C,MATCH($A39,Event_Girdi!$A:$A,0))&lt;=Hafta_Ozet!$C2,INDEX(Event_Girdi!$D:$D,MATCH($A39,Event_Girdi!$A:$A,0))&gt;=Hafta_Ozet!$B2),"ACTIVE","")))</f>
      </c>
      <c r="E39">
        <f>IF($A39="","",IF(Hafta_Ozet!$B3="","",IF(AND(INDEX(Event_Girdi!$C:$C,MATCH($A39,Event_Girdi!$A:$A,0))&lt;=Hafta_Ozet!$C3,INDEX(Event_Girdi!$D:$D,MATCH($A39,Event_Girdi!$A:$A,0))&gt;=Hafta_Ozet!$B3),"ACTIVE","")))</f>
      </c>
      <c r="F39">
        <f>IF($A39="","",IF(Hafta_Ozet!$B4="","",IF(AND(INDEX(Event_Girdi!$C:$C,MATCH($A39,Event_Girdi!$A:$A,0))&lt;=Hafta_Ozet!$C4,INDEX(Event_Girdi!$D:$D,MATCH($A39,Event_Girdi!$A:$A,0))&gt;=Hafta_Ozet!$B4),"ACTIVE","")))</f>
      </c>
      <c r="G39">
        <f>IF($A39="","",IF(Hafta_Ozet!$B5="","",IF(AND(INDEX(Event_Girdi!$C:$C,MATCH($A39,Event_Girdi!$A:$A,0))&lt;=Hafta_Ozet!$C5,INDEX(Event_Girdi!$D:$D,MATCH($A39,Event_Girdi!$A:$A,0))&gt;=Hafta_Ozet!$B5),"ACTIVE","")))</f>
      </c>
      <c r="H39">
        <f>IF($A39="","",IF(Hafta_Ozet!$B6="","",IF(AND(INDEX(Event_Girdi!$C:$C,MATCH($A39,Event_Girdi!$A:$A,0))&lt;=Hafta_Ozet!$C6,INDEX(Event_Girdi!$D:$D,MATCH($A39,Event_Girdi!$A:$A,0))&gt;=Hafta_Ozet!$B6),"ACTIVE","")))</f>
      </c>
      <c r="I39">
        <f>IF($A39="","",IF(Hafta_Ozet!$B7="","",IF(AND(INDEX(Event_Girdi!$C:$C,MATCH($A39,Event_Girdi!$A:$A,0))&lt;=Hafta_Ozet!$C7,INDEX(Event_Girdi!$D:$D,MATCH($A39,Event_Girdi!$A:$A,0))&gt;=Hafta_Ozet!$B7),"ACTIVE","")))</f>
      </c>
      <c r="J39">
        <f>IF($A39="","",IF(Hafta_Ozet!$B8="","",IF(AND(INDEX(Event_Girdi!$C:$C,MATCH($A39,Event_Girdi!$A:$A,0))&lt;=Hafta_Ozet!$C8,INDEX(Event_Girdi!$D:$D,MATCH($A39,Event_Girdi!$A:$A,0))&gt;=Hafta_Ozet!$B8),"ACTIVE","")))</f>
      </c>
      <c r="K39">
        <f>IF($A39="","",IF(Hafta_Ozet!$B9="","",IF(AND(INDEX(Event_Girdi!$C:$C,MATCH($A39,Event_Girdi!$A:$A,0))&lt;=Hafta_Ozet!$C9,INDEX(Event_Girdi!$D:$D,MATCH($A39,Event_Girdi!$A:$A,0))&gt;=Hafta_Ozet!$B9),"ACTIVE","")))</f>
      </c>
      <c r="L39">
        <f>IF($A39="","",IF(Hafta_Ozet!$B10="","",IF(AND(INDEX(Event_Girdi!$C:$C,MATCH($A39,Event_Girdi!$A:$A,0))&lt;=Hafta_Ozet!$C10,INDEX(Event_Girdi!$D:$D,MATCH($A39,Event_Girdi!$A:$A,0))&gt;=Hafta_Ozet!$B10),"ACTIVE","")))</f>
      </c>
      <c r="M39">
        <f>IF($A39="","",IF(Hafta_Ozet!$B11="","",IF(AND(INDEX(Event_Girdi!$C:$C,MATCH($A39,Event_Girdi!$A:$A,0))&lt;=Hafta_Ozet!$C11,INDEX(Event_Girdi!$D:$D,MATCH($A39,Event_Girdi!$A:$A,0))&gt;=Hafta_Ozet!$B11),"ACTIVE","")))</f>
      </c>
      <c r="N39">
        <f>IF($A39="","",IF(Hafta_Ozet!$B12="","",IF(AND(INDEX(Event_Girdi!$C:$C,MATCH($A39,Event_Girdi!$A:$A,0))&lt;=Hafta_Ozet!$C12,INDEX(Event_Girdi!$D:$D,MATCH($A39,Event_Girdi!$A:$A,0))&gt;=Hafta_Ozet!$B12),"ACTIVE","")))</f>
      </c>
      <c r="O39">
        <f>IF($A39="","",IF(Hafta_Ozet!$B13="","",IF(AND(INDEX(Event_Girdi!$C:$C,MATCH($A39,Event_Girdi!$A:$A,0))&lt;=Hafta_Ozet!$C13,INDEX(Event_Girdi!$D:$D,MATCH($A39,Event_Girdi!$A:$A,0))&gt;=Hafta_Ozet!$B13),"ACTIVE","")))</f>
      </c>
      <c r="P39">
        <f>IF($A39="","",IF(Hafta_Ozet!$B14="","",IF(AND(INDEX(Event_Girdi!$C:$C,MATCH($A39,Event_Girdi!$A:$A,0))&lt;=Hafta_Ozet!$C14,INDEX(Event_Girdi!$D:$D,MATCH($A39,Event_Girdi!$A:$A,0))&gt;=Hafta_Ozet!$B14),"ACTIVE","")))</f>
      </c>
      <c r="Q39">
        <f>IF($A39="","",IF(Hafta_Ozet!$B15="","",IF(AND(INDEX(Event_Girdi!$C:$C,MATCH($A39,Event_Girdi!$A:$A,0))&lt;=Hafta_Ozet!$C15,INDEX(Event_Girdi!$D:$D,MATCH($A39,Event_Girdi!$A:$A,0))&gt;=Hafta_Ozet!$B15),"ACTIVE","")))</f>
      </c>
      <c r="R39">
        <f>IF($A39="","",IF(Hafta_Ozet!$B16="","",IF(AND(INDEX(Event_Girdi!$C:$C,MATCH($A39,Event_Girdi!$A:$A,0))&lt;=Hafta_Ozet!$C16,INDEX(Event_Girdi!$D:$D,MATCH($A39,Event_Girdi!$A:$A,0))&gt;=Hafta_Ozet!$B16),"ACTIVE","")))</f>
      </c>
      <c r="S39">
        <f>IF($A39="","",IF(Hafta_Ozet!$B17="","",IF(AND(INDEX(Event_Girdi!$C:$C,MATCH($A39,Event_Girdi!$A:$A,0))&lt;=Hafta_Ozet!$C17,INDEX(Event_Girdi!$D:$D,MATCH($A39,Event_Girdi!$A:$A,0))&gt;=Hafta_Ozet!$B17),"ACTIVE","")))</f>
      </c>
      <c r="T39">
        <f>IF($A39="","",IF(Hafta_Ozet!$B18="","",IF(AND(INDEX(Event_Girdi!$C:$C,MATCH($A39,Event_Girdi!$A:$A,0))&lt;=Hafta_Ozet!$C18,INDEX(Event_Girdi!$D:$D,MATCH($A39,Event_Girdi!$A:$A,0))&gt;=Hafta_Ozet!$B18),"ACTIVE","")))</f>
      </c>
      <c r="U39">
        <f>IF($A39="","",IF(Hafta_Ozet!$B19="","",IF(AND(INDEX(Event_Girdi!$C:$C,MATCH($A39,Event_Girdi!$A:$A,0))&lt;=Hafta_Ozet!$C19,INDEX(Event_Girdi!$D:$D,MATCH($A39,Event_Girdi!$A:$A,0))&gt;=Hafta_Ozet!$B19),"ACTIVE","")))</f>
      </c>
      <c r="V39">
        <f>IF($A39="","",IF(Hafta_Ozet!$B20="","",IF(AND(INDEX(Event_Girdi!$C:$C,MATCH($A39,Event_Girdi!$A:$A,0))&lt;=Hafta_Ozet!$C20,INDEX(Event_Girdi!$D:$D,MATCH($A39,Event_Girdi!$A:$A,0))&gt;=Hafta_Ozet!$B20),"ACTIVE","")))</f>
      </c>
      <c r="W39">
        <f>IF($A39="","",IF(Hafta_Ozet!$B21="","",IF(AND(INDEX(Event_Girdi!$C:$C,MATCH($A39,Event_Girdi!$A:$A,0))&lt;=Hafta_Ozet!$C21,INDEX(Event_Girdi!$D:$D,MATCH($A39,Event_Girdi!$A:$A,0))&gt;=Hafta_Ozet!$B21),"ACTIVE","")))</f>
      </c>
    </row>
    <row r="40">
      <c r="A40">
        <f>IFERROR(INDEX(FILTER(Event_Girdi!$A$2:$A,Event_Girdi!$G$2:$G="Evet"),9),"")</f>
      </c>
      <c r="B40">
        <f>IF($A40="","",INDEX(Event_Girdi!$B:$B,MATCH($A40,Event_Girdi!$A:$A,0)))</f>
      </c>
      <c r="C40">
        <f>IF($A40="","",INDEX(Event_Girdi!$E:$E,MATCH($A40,Event_Girdi!$A:$A,0)))</f>
      </c>
      <c r="D40">
        <f>IF($A40="","",IF(Hafta_Ozet!$B2="","",IF(AND(INDEX(Event_Girdi!$C:$C,MATCH($A40,Event_Girdi!$A:$A,0))&lt;=Hafta_Ozet!$C2,INDEX(Event_Girdi!$D:$D,MATCH($A40,Event_Girdi!$A:$A,0))&gt;=Hafta_Ozet!$B2),"ACTIVE","")))</f>
      </c>
      <c r="E40">
        <f>IF($A40="","",IF(Hafta_Ozet!$B3="","",IF(AND(INDEX(Event_Girdi!$C:$C,MATCH($A40,Event_Girdi!$A:$A,0))&lt;=Hafta_Ozet!$C3,INDEX(Event_Girdi!$D:$D,MATCH($A40,Event_Girdi!$A:$A,0))&gt;=Hafta_Ozet!$B3),"ACTIVE","")))</f>
      </c>
      <c r="F40">
        <f>IF($A40="","",IF(Hafta_Ozet!$B4="","",IF(AND(INDEX(Event_Girdi!$C:$C,MATCH($A40,Event_Girdi!$A:$A,0))&lt;=Hafta_Ozet!$C4,INDEX(Event_Girdi!$D:$D,MATCH($A40,Event_Girdi!$A:$A,0))&gt;=Hafta_Ozet!$B4),"ACTIVE","")))</f>
      </c>
      <c r="G40">
        <f>IF($A40="","",IF(Hafta_Ozet!$B5="","",IF(AND(INDEX(Event_Girdi!$C:$C,MATCH($A40,Event_Girdi!$A:$A,0))&lt;=Hafta_Ozet!$C5,INDEX(Event_Girdi!$D:$D,MATCH($A40,Event_Girdi!$A:$A,0))&gt;=Hafta_Ozet!$B5),"ACTIVE","")))</f>
      </c>
      <c r="H40">
        <f>IF($A40="","",IF(Hafta_Ozet!$B6="","",IF(AND(INDEX(Event_Girdi!$C:$C,MATCH($A40,Event_Girdi!$A:$A,0))&lt;=Hafta_Ozet!$C6,INDEX(Event_Girdi!$D:$D,MATCH($A40,Event_Girdi!$A:$A,0))&gt;=Hafta_Ozet!$B6),"ACTIVE","")))</f>
      </c>
      <c r="I40">
        <f>IF($A40="","",IF(Hafta_Ozet!$B7="","",IF(AND(INDEX(Event_Girdi!$C:$C,MATCH($A40,Event_Girdi!$A:$A,0))&lt;=Hafta_Ozet!$C7,INDEX(Event_Girdi!$D:$D,MATCH($A40,Event_Girdi!$A:$A,0))&gt;=Hafta_Ozet!$B7),"ACTIVE","")))</f>
      </c>
      <c r="J40">
        <f>IF($A40="","",IF(Hafta_Ozet!$B8="","",IF(AND(INDEX(Event_Girdi!$C:$C,MATCH($A40,Event_Girdi!$A:$A,0))&lt;=Hafta_Ozet!$C8,INDEX(Event_Girdi!$D:$D,MATCH($A40,Event_Girdi!$A:$A,0))&gt;=Hafta_Ozet!$B8),"ACTIVE","")))</f>
      </c>
      <c r="K40">
        <f>IF($A40="","",IF(Hafta_Ozet!$B9="","",IF(AND(INDEX(Event_Girdi!$C:$C,MATCH($A40,Event_Girdi!$A:$A,0))&lt;=Hafta_Ozet!$C9,INDEX(Event_Girdi!$D:$D,MATCH($A40,Event_Girdi!$A:$A,0))&gt;=Hafta_Ozet!$B9),"ACTIVE","")))</f>
      </c>
      <c r="L40">
        <f>IF($A40="","",IF(Hafta_Ozet!$B10="","",IF(AND(INDEX(Event_Girdi!$C:$C,MATCH($A40,Event_Girdi!$A:$A,0))&lt;=Hafta_Ozet!$C10,INDEX(Event_Girdi!$D:$D,MATCH($A40,Event_Girdi!$A:$A,0))&gt;=Hafta_Ozet!$B10),"ACTIVE","")))</f>
      </c>
      <c r="M40">
        <f>IF($A40="","",IF(Hafta_Ozet!$B11="","",IF(AND(INDEX(Event_Girdi!$C:$C,MATCH($A40,Event_Girdi!$A:$A,0))&lt;=Hafta_Ozet!$C11,INDEX(Event_Girdi!$D:$D,MATCH($A40,Event_Girdi!$A:$A,0))&gt;=Hafta_Ozet!$B11),"ACTIVE","")))</f>
      </c>
      <c r="N40">
        <f>IF($A40="","",IF(Hafta_Ozet!$B12="","",IF(AND(INDEX(Event_Girdi!$C:$C,MATCH($A40,Event_Girdi!$A:$A,0))&lt;=Hafta_Ozet!$C12,INDEX(Event_Girdi!$D:$D,MATCH($A40,Event_Girdi!$A:$A,0))&gt;=Hafta_Ozet!$B12),"ACTIVE","")))</f>
      </c>
      <c r="O40">
        <f>IF($A40="","",IF(Hafta_Ozet!$B13="","",IF(AND(INDEX(Event_Girdi!$C:$C,MATCH($A40,Event_Girdi!$A:$A,0))&lt;=Hafta_Ozet!$C13,INDEX(Event_Girdi!$D:$D,MATCH($A40,Event_Girdi!$A:$A,0))&gt;=Hafta_Ozet!$B13),"ACTIVE","")))</f>
      </c>
      <c r="P40">
        <f>IF($A40="","",IF(Hafta_Ozet!$B14="","",IF(AND(INDEX(Event_Girdi!$C:$C,MATCH($A40,Event_Girdi!$A:$A,0))&lt;=Hafta_Ozet!$C14,INDEX(Event_Girdi!$D:$D,MATCH($A40,Event_Girdi!$A:$A,0))&gt;=Hafta_Ozet!$B14),"ACTIVE","")))</f>
      </c>
      <c r="Q40">
        <f>IF($A40="","",IF(Hafta_Ozet!$B15="","",IF(AND(INDEX(Event_Girdi!$C:$C,MATCH($A40,Event_Girdi!$A:$A,0))&lt;=Hafta_Ozet!$C15,INDEX(Event_Girdi!$D:$D,MATCH($A40,Event_Girdi!$A:$A,0))&gt;=Hafta_Ozet!$B15),"ACTIVE","")))</f>
      </c>
      <c r="R40">
        <f>IF($A40="","",IF(Hafta_Ozet!$B16="","",IF(AND(INDEX(Event_Girdi!$C:$C,MATCH($A40,Event_Girdi!$A:$A,0))&lt;=Hafta_Ozet!$C16,INDEX(Event_Girdi!$D:$D,MATCH($A40,Event_Girdi!$A:$A,0))&gt;=Hafta_Ozet!$B16),"ACTIVE","")))</f>
      </c>
      <c r="S40">
        <f>IF($A40="","",IF(Hafta_Ozet!$B17="","",IF(AND(INDEX(Event_Girdi!$C:$C,MATCH($A40,Event_Girdi!$A:$A,0))&lt;=Hafta_Ozet!$C17,INDEX(Event_Girdi!$D:$D,MATCH($A40,Event_Girdi!$A:$A,0))&gt;=Hafta_Ozet!$B17),"ACTIVE","")))</f>
      </c>
      <c r="T40">
        <f>IF($A40="","",IF(Hafta_Ozet!$B18="","",IF(AND(INDEX(Event_Girdi!$C:$C,MATCH($A40,Event_Girdi!$A:$A,0))&lt;=Hafta_Ozet!$C18,INDEX(Event_Girdi!$D:$D,MATCH($A40,Event_Girdi!$A:$A,0))&gt;=Hafta_Ozet!$B18),"ACTIVE","")))</f>
      </c>
      <c r="U40">
        <f>IF($A40="","",IF(Hafta_Ozet!$B19="","",IF(AND(INDEX(Event_Girdi!$C:$C,MATCH($A40,Event_Girdi!$A:$A,0))&lt;=Hafta_Ozet!$C19,INDEX(Event_Girdi!$D:$D,MATCH($A40,Event_Girdi!$A:$A,0))&gt;=Hafta_Ozet!$B19),"ACTIVE","")))</f>
      </c>
      <c r="V40">
        <f>IF($A40="","",IF(Hafta_Ozet!$B20="","",IF(AND(INDEX(Event_Girdi!$C:$C,MATCH($A40,Event_Girdi!$A:$A,0))&lt;=Hafta_Ozet!$C20,INDEX(Event_Girdi!$D:$D,MATCH($A40,Event_Girdi!$A:$A,0))&gt;=Hafta_Ozet!$B20),"ACTIVE","")))</f>
      </c>
      <c r="W40">
        <f>IF($A40="","",IF(Hafta_Ozet!$B21="","",IF(AND(INDEX(Event_Girdi!$C:$C,MATCH($A40,Event_Girdi!$A:$A,0))&lt;=Hafta_Ozet!$C21,INDEX(Event_Girdi!$D:$D,MATCH($A40,Event_Girdi!$A:$A,0))&gt;=Hafta_Ozet!$B21),"ACTIVE","")))</f>
      </c>
    </row>
    <row r="41">
      <c r="A41">
        <f>IFERROR(INDEX(FILTER(Event_Girdi!$A$2:$A,Event_Girdi!$G$2:$G="Evet"),10),"")</f>
      </c>
      <c r="B41">
        <f>IF($A41="","",INDEX(Event_Girdi!$B:$B,MATCH($A41,Event_Girdi!$A:$A,0)))</f>
      </c>
      <c r="C41">
        <f>IF($A41="","",INDEX(Event_Girdi!$E:$E,MATCH($A41,Event_Girdi!$A:$A,0)))</f>
      </c>
      <c r="D41">
        <f>IF($A41="","",IF(Hafta_Ozet!$B2="","",IF(AND(INDEX(Event_Girdi!$C:$C,MATCH($A41,Event_Girdi!$A:$A,0))&lt;=Hafta_Ozet!$C2,INDEX(Event_Girdi!$D:$D,MATCH($A41,Event_Girdi!$A:$A,0))&gt;=Hafta_Ozet!$B2),"ACTIVE","")))</f>
      </c>
      <c r="E41">
        <f>IF($A41="","",IF(Hafta_Ozet!$B3="","",IF(AND(INDEX(Event_Girdi!$C:$C,MATCH($A41,Event_Girdi!$A:$A,0))&lt;=Hafta_Ozet!$C3,INDEX(Event_Girdi!$D:$D,MATCH($A41,Event_Girdi!$A:$A,0))&gt;=Hafta_Ozet!$B3),"ACTIVE","")))</f>
      </c>
      <c r="F41">
        <f>IF($A41="","",IF(Hafta_Ozet!$B4="","",IF(AND(INDEX(Event_Girdi!$C:$C,MATCH($A41,Event_Girdi!$A:$A,0))&lt;=Hafta_Ozet!$C4,INDEX(Event_Girdi!$D:$D,MATCH($A41,Event_Girdi!$A:$A,0))&gt;=Hafta_Ozet!$B4),"ACTIVE","")))</f>
      </c>
      <c r="G41">
        <f>IF($A41="","",IF(Hafta_Ozet!$B5="","",IF(AND(INDEX(Event_Girdi!$C:$C,MATCH($A41,Event_Girdi!$A:$A,0))&lt;=Hafta_Ozet!$C5,INDEX(Event_Girdi!$D:$D,MATCH($A41,Event_Girdi!$A:$A,0))&gt;=Hafta_Ozet!$B5),"ACTIVE","")))</f>
      </c>
      <c r="H41">
        <f>IF($A41="","",IF(Hafta_Ozet!$B6="","",IF(AND(INDEX(Event_Girdi!$C:$C,MATCH($A41,Event_Girdi!$A:$A,0))&lt;=Hafta_Ozet!$C6,INDEX(Event_Girdi!$D:$D,MATCH($A41,Event_Girdi!$A:$A,0))&gt;=Hafta_Ozet!$B6),"ACTIVE","")))</f>
      </c>
      <c r="I41">
        <f>IF($A41="","",IF(Hafta_Ozet!$B7="","",IF(AND(INDEX(Event_Girdi!$C:$C,MATCH($A41,Event_Girdi!$A:$A,0))&lt;=Hafta_Ozet!$C7,INDEX(Event_Girdi!$D:$D,MATCH($A41,Event_Girdi!$A:$A,0))&gt;=Hafta_Ozet!$B7),"ACTIVE","")))</f>
      </c>
      <c r="J41">
        <f>IF($A41="","",IF(Hafta_Ozet!$B8="","",IF(AND(INDEX(Event_Girdi!$C:$C,MATCH($A41,Event_Girdi!$A:$A,0))&lt;=Hafta_Ozet!$C8,INDEX(Event_Girdi!$D:$D,MATCH($A41,Event_Girdi!$A:$A,0))&gt;=Hafta_Ozet!$B8),"ACTIVE","")))</f>
      </c>
      <c r="K41">
        <f>IF($A41="","",IF(Hafta_Ozet!$B9="","",IF(AND(INDEX(Event_Girdi!$C:$C,MATCH($A41,Event_Girdi!$A:$A,0))&lt;=Hafta_Ozet!$C9,INDEX(Event_Girdi!$D:$D,MATCH($A41,Event_Girdi!$A:$A,0))&gt;=Hafta_Ozet!$B9),"ACTIVE","")))</f>
      </c>
      <c r="L41">
        <f>IF($A41="","",IF(Hafta_Ozet!$B10="","",IF(AND(INDEX(Event_Girdi!$C:$C,MATCH($A41,Event_Girdi!$A:$A,0))&lt;=Hafta_Ozet!$C10,INDEX(Event_Girdi!$D:$D,MATCH($A41,Event_Girdi!$A:$A,0))&gt;=Hafta_Ozet!$B10),"ACTIVE","")))</f>
      </c>
      <c r="M41">
        <f>IF($A41="","",IF(Hafta_Ozet!$B11="","",IF(AND(INDEX(Event_Girdi!$C:$C,MATCH($A41,Event_Girdi!$A:$A,0))&lt;=Hafta_Ozet!$C11,INDEX(Event_Girdi!$D:$D,MATCH($A41,Event_Girdi!$A:$A,0))&gt;=Hafta_Ozet!$B11),"ACTIVE","")))</f>
      </c>
      <c r="N41">
        <f>IF($A41="","",IF(Hafta_Ozet!$B12="","",IF(AND(INDEX(Event_Girdi!$C:$C,MATCH($A41,Event_Girdi!$A:$A,0))&lt;=Hafta_Ozet!$C12,INDEX(Event_Girdi!$D:$D,MATCH($A41,Event_Girdi!$A:$A,0))&gt;=Hafta_Ozet!$B12),"ACTIVE","")))</f>
      </c>
      <c r="O41">
        <f>IF($A41="","",IF(Hafta_Ozet!$B13="","",IF(AND(INDEX(Event_Girdi!$C:$C,MATCH($A41,Event_Girdi!$A:$A,0))&lt;=Hafta_Ozet!$C13,INDEX(Event_Girdi!$D:$D,MATCH($A41,Event_Girdi!$A:$A,0))&gt;=Hafta_Ozet!$B13),"ACTIVE","")))</f>
      </c>
      <c r="P41">
        <f>IF($A41="","",IF(Hafta_Ozet!$B14="","",IF(AND(INDEX(Event_Girdi!$C:$C,MATCH($A41,Event_Girdi!$A:$A,0))&lt;=Hafta_Ozet!$C14,INDEX(Event_Girdi!$D:$D,MATCH($A41,Event_Girdi!$A:$A,0))&gt;=Hafta_Ozet!$B14),"ACTIVE","")))</f>
      </c>
      <c r="Q41">
        <f>IF($A41="","",IF(Hafta_Ozet!$B15="","",IF(AND(INDEX(Event_Girdi!$C:$C,MATCH($A41,Event_Girdi!$A:$A,0))&lt;=Hafta_Ozet!$C15,INDEX(Event_Girdi!$D:$D,MATCH($A41,Event_Girdi!$A:$A,0))&gt;=Hafta_Ozet!$B15),"ACTIVE","")))</f>
      </c>
      <c r="R41">
        <f>IF($A41="","",IF(Hafta_Ozet!$B16="","",IF(AND(INDEX(Event_Girdi!$C:$C,MATCH($A41,Event_Girdi!$A:$A,0))&lt;=Hafta_Ozet!$C16,INDEX(Event_Girdi!$D:$D,MATCH($A41,Event_Girdi!$A:$A,0))&gt;=Hafta_Ozet!$B16),"ACTIVE","")))</f>
      </c>
      <c r="S41">
        <f>IF($A41="","",IF(Hafta_Ozet!$B17="","",IF(AND(INDEX(Event_Girdi!$C:$C,MATCH($A41,Event_Girdi!$A:$A,0))&lt;=Hafta_Ozet!$C17,INDEX(Event_Girdi!$D:$D,MATCH($A41,Event_Girdi!$A:$A,0))&gt;=Hafta_Ozet!$B17),"ACTIVE","")))</f>
      </c>
      <c r="T41">
        <f>IF($A41="","",IF(Hafta_Ozet!$B18="","",IF(AND(INDEX(Event_Girdi!$C:$C,MATCH($A41,Event_Girdi!$A:$A,0))&lt;=Hafta_Ozet!$C18,INDEX(Event_Girdi!$D:$D,MATCH($A41,Event_Girdi!$A:$A,0))&gt;=Hafta_Ozet!$B18),"ACTIVE","")))</f>
      </c>
      <c r="U41">
        <f>IF($A41="","",IF(Hafta_Ozet!$B19="","",IF(AND(INDEX(Event_Girdi!$C:$C,MATCH($A41,Event_Girdi!$A:$A,0))&lt;=Hafta_Ozet!$C19,INDEX(Event_Girdi!$D:$D,MATCH($A41,Event_Girdi!$A:$A,0))&gt;=Hafta_Ozet!$B19),"ACTIVE","")))</f>
      </c>
      <c r="V41">
        <f>IF($A41="","",IF(Hafta_Ozet!$B20="","",IF(AND(INDEX(Event_Girdi!$C:$C,MATCH($A41,Event_Girdi!$A:$A,0))&lt;=Hafta_Ozet!$C20,INDEX(Event_Girdi!$D:$D,MATCH($A41,Event_Girdi!$A:$A,0))&gt;=Hafta_Ozet!$B20),"ACTIVE","")))</f>
      </c>
      <c r="W41">
        <f>IF($A41="","",IF(Hafta_Ozet!$B21="","",IF(AND(INDEX(Event_Girdi!$C:$C,MATCH($A41,Event_Girdi!$A:$A,0))&lt;=Hafta_Ozet!$C21,INDEX(Event_Girdi!$D:$D,MATCH($A41,Event_Girdi!$A:$A,0))&gt;=Hafta_Ozet!$B21),"ACTIVE","")))</f>
      </c>
    </row>
    <row r="42">
      <c r="A42">
        <f>IFERROR(INDEX(FILTER(Event_Girdi!$A$2:$A,Event_Girdi!$G$2:$G="Evet"),11),"")</f>
      </c>
      <c r="B42">
        <f>IF($A42="","",INDEX(Event_Girdi!$B:$B,MATCH($A42,Event_Girdi!$A:$A,0)))</f>
      </c>
      <c r="C42">
        <f>IF($A42="","",INDEX(Event_Girdi!$E:$E,MATCH($A42,Event_Girdi!$A:$A,0)))</f>
      </c>
      <c r="D42">
        <f>IF($A42="","",IF(Hafta_Ozet!$B2="","",IF(AND(INDEX(Event_Girdi!$C:$C,MATCH($A42,Event_Girdi!$A:$A,0))&lt;=Hafta_Ozet!$C2,INDEX(Event_Girdi!$D:$D,MATCH($A42,Event_Girdi!$A:$A,0))&gt;=Hafta_Ozet!$B2),"ACTIVE","")))</f>
      </c>
      <c r="E42">
        <f>IF($A42="","",IF(Hafta_Ozet!$B3="","",IF(AND(INDEX(Event_Girdi!$C:$C,MATCH($A42,Event_Girdi!$A:$A,0))&lt;=Hafta_Ozet!$C3,INDEX(Event_Girdi!$D:$D,MATCH($A42,Event_Girdi!$A:$A,0))&gt;=Hafta_Ozet!$B3),"ACTIVE","")))</f>
      </c>
      <c r="F42">
        <f>IF($A42="","",IF(Hafta_Ozet!$B4="","",IF(AND(INDEX(Event_Girdi!$C:$C,MATCH($A42,Event_Girdi!$A:$A,0))&lt;=Hafta_Ozet!$C4,INDEX(Event_Girdi!$D:$D,MATCH($A42,Event_Girdi!$A:$A,0))&gt;=Hafta_Ozet!$B4),"ACTIVE","")))</f>
      </c>
      <c r="G42">
        <f>IF($A42="","",IF(Hafta_Ozet!$B5="","",IF(AND(INDEX(Event_Girdi!$C:$C,MATCH($A42,Event_Girdi!$A:$A,0))&lt;=Hafta_Ozet!$C5,INDEX(Event_Girdi!$D:$D,MATCH($A42,Event_Girdi!$A:$A,0))&gt;=Hafta_Ozet!$B5),"ACTIVE","")))</f>
      </c>
      <c r="H42">
        <f>IF($A42="","",IF(Hafta_Ozet!$B6="","",IF(AND(INDEX(Event_Girdi!$C:$C,MATCH($A42,Event_Girdi!$A:$A,0))&lt;=Hafta_Ozet!$C6,INDEX(Event_Girdi!$D:$D,MATCH($A42,Event_Girdi!$A:$A,0))&gt;=Hafta_Ozet!$B6),"ACTIVE","")))</f>
      </c>
      <c r="I42">
        <f>IF($A42="","",IF(Hafta_Ozet!$B7="","",IF(AND(INDEX(Event_Girdi!$C:$C,MATCH($A42,Event_Girdi!$A:$A,0))&lt;=Hafta_Ozet!$C7,INDEX(Event_Girdi!$D:$D,MATCH($A42,Event_Girdi!$A:$A,0))&gt;=Hafta_Ozet!$B7),"ACTIVE","")))</f>
      </c>
      <c r="J42">
        <f>IF($A42="","",IF(Hafta_Ozet!$B8="","",IF(AND(INDEX(Event_Girdi!$C:$C,MATCH($A42,Event_Girdi!$A:$A,0))&lt;=Hafta_Ozet!$C8,INDEX(Event_Girdi!$D:$D,MATCH($A42,Event_Girdi!$A:$A,0))&gt;=Hafta_Ozet!$B8),"ACTIVE","")))</f>
      </c>
      <c r="K42">
        <f>IF($A42="","",IF(Hafta_Ozet!$B9="","",IF(AND(INDEX(Event_Girdi!$C:$C,MATCH($A42,Event_Girdi!$A:$A,0))&lt;=Hafta_Ozet!$C9,INDEX(Event_Girdi!$D:$D,MATCH($A42,Event_Girdi!$A:$A,0))&gt;=Hafta_Ozet!$B9),"ACTIVE","")))</f>
      </c>
      <c r="L42">
        <f>IF($A42="","",IF(Hafta_Ozet!$B10="","",IF(AND(INDEX(Event_Girdi!$C:$C,MATCH($A42,Event_Girdi!$A:$A,0))&lt;=Hafta_Ozet!$C10,INDEX(Event_Girdi!$D:$D,MATCH($A42,Event_Girdi!$A:$A,0))&gt;=Hafta_Ozet!$B10),"ACTIVE","")))</f>
      </c>
      <c r="M42">
        <f>IF($A42="","",IF(Hafta_Ozet!$B11="","",IF(AND(INDEX(Event_Girdi!$C:$C,MATCH($A42,Event_Girdi!$A:$A,0))&lt;=Hafta_Ozet!$C11,INDEX(Event_Girdi!$D:$D,MATCH($A42,Event_Girdi!$A:$A,0))&gt;=Hafta_Ozet!$B11),"ACTIVE","")))</f>
      </c>
      <c r="N42">
        <f>IF($A42="","",IF(Hafta_Ozet!$B12="","",IF(AND(INDEX(Event_Girdi!$C:$C,MATCH($A42,Event_Girdi!$A:$A,0))&lt;=Hafta_Ozet!$C12,INDEX(Event_Girdi!$D:$D,MATCH($A42,Event_Girdi!$A:$A,0))&gt;=Hafta_Ozet!$B12),"ACTIVE","")))</f>
      </c>
      <c r="O42">
        <f>IF($A42="","",IF(Hafta_Ozet!$B13="","",IF(AND(INDEX(Event_Girdi!$C:$C,MATCH($A42,Event_Girdi!$A:$A,0))&lt;=Hafta_Ozet!$C13,INDEX(Event_Girdi!$D:$D,MATCH($A42,Event_Girdi!$A:$A,0))&gt;=Hafta_Ozet!$B13),"ACTIVE","")))</f>
      </c>
      <c r="P42">
        <f>IF($A42="","",IF(Hafta_Ozet!$B14="","",IF(AND(INDEX(Event_Girdi!$C:$C,MATCH($A42,Event_Girdi!$A:$A,0))&lt;=Hafta_Ozet!$C14,INDEX(Event_Girdi!$D:$D,MATCH($A42,Event_Girdi!$A:$A,0))&gt;=Hafta_Ozet!$B14),"ACTIVE","")))</f>
      </c>
      <c r="Q42">
        <f>IF($A42="","",IF(Hafta_Ozet!$B15="","",IF(AND(INDEX(Event_Girdi!$C:$C,MATCH($A42,Event_Girdi!$A:$A,0))&lt;=Hafta_Ozet!$C15,INDEX(Event_Girdi!$D:$D,MATCH($A42,Event_Girdi!$A:$A,0))&gt;=Hafta_Ozet!$B15),"ACTIVE","")))</f>
      </c>
      <c r="R42">
        <f>IF($A42="","",IF(Hafta_Ozet!$B16="","",IF(AND(INDEX(Event_Girdi!$C:$C,MATCH($A42,Event_Girdi!$A:$A,0))&lt;=Hafta_Ozet!$C16,INDEX(Event_Girdi!$D:$D,MATCH($A42,Event_Girdi!$A:$A,0))&gt;=Hafta_Ozet!$B16),"ACTIVE","")))</f>
      </c>
      <c r="S42">
        <f>IF($A42="","",IF(Hafta_Ozet!$B17="","",IF(AND(INDEX(Event_Girdi!$C:$C,MATCH($A42,Event_Girdi!$A:$A,0))&lt;=Hafta_Ozet!$C17,INDEX(Event_Girdi!$D:$D,MATCH($A42,Event_Girdi!$A:$A,0))&gt;=Hafta_Ozet!$B17),"ACTIVE","")))</f>
      </c>
      <c r="T42">
        <f>IF($A42="","",IF(Hafta_Ozet!$B18="","",IF(AND(INDEX(Event_Girdi!$C:$C,MATCH($A42,Event_Girdi!$A:$A,0))&lt;=Hafta_Ozet!$C18,INDEX(Event_Girdi!$D:$D,MATCH($A42,Event_Girdi!$A:$A,0))&gt;=Hafta_Ozet!$B18),"ACTIVE","")))</f>
      </c>
      <c r="U42">
        <f>IF($A42="","",IF(Hafta_Ozet!$B19="","",IF(AND(INDEX(Event_Girdi!$C:$C,MATCH($A42,Event_Girdi!$A:$A,0))&lt;=Hafta_Ozet!$C19,INDEX(Event_Girdi!$D:$D,MATCH($A42,Event_Girdi!$A:$A,0))&gt;=Hafta_Ozet!$B19),"ACTIVE","")))</f>
      </c>
      <c r="V42">
        <f>IF($A42="","",IF(Hafta_Ozet!$B20="","",IF(AND(INDEX(Event_Girdi!$C:$C,MATCH($A42,Event_Girdi!$A:$A,0))&lt;=Hafta_Ozet!$C20,INDEX(Event_Girdi!$D:$D,MATCH($A42,Event_Girdi!$A:$A,0))&gt;=Hafta_Ozet!$B20),"ACTIVE","")))</f>
      </c>
      <c r="W42">
        <f>IF($A42="","",IF(Hafta_Ozet!$B21="","",IF(AND(INDEX(Event_Girdi!$C:$C,MATCH($A42,Event_Girdi!$A:$A,0))&lt;=Hafta_Ozet!$C21,INDEX(Event_Girdi!$D:$D,MATCH($A42,Event_Girdi!$A:$A,0))&gt;=Hafta_Ozet!$B21),"ACTIVE","")))</f>
      </c>
    </row>
    <row r="43">
      <c r="A43">
        <f>IFERROR(INDEX(FILTER(Event_Girdi!$A$2:$A,Event_Girdi!$G$2:$G="Evet"),12),"")</f>
      </c>
      <c r="B43">
        <f>IF($A43="","",INDEX(Event_Girdi!$B:$B,MATCH($A43,Event_Girdi!$A:$A,0)))</f>
      </c>
      <c r="C43">
        <f>IF($A43="","",INDEX(Event_Girdi!$E:$E,MATCH($A43,Event_Girdi!$A:$A,0)))</f>
      </c>
      <c r="D43">
        <f>IF($A43="","",IF(Hafta_Ozet!$B2="","",IF(AND(INDEX(Event_Girdi!$C:$C,MATCH($A43,Event_Girdi!$A:$A,0))&lt;=Hafta_Ozet!$C2,INDEX(Event_Girdi!$D:$D,MATCH($A43,Event_Girdi!$A:$A,0))&gt;=Hafta_Ozet!$B2),"ACTIVE","")))</f>
      </c>
      <c r="E43">
        <f>IF($A43="","",IF(Hafta_Ozet!$B3="","",IF(AND(INDEX(Event_Girdi!$C:$C,MATCH($A43,Event_Girdi!$A:$A,0))&lt;=Hafta_Ozet!$C3,INDEX(Event_Girdi!$D:$D,MATCH($A43,Event_Girdi!$A:$A,0))&gt;=Hafta_Ozet!$B3),"ACTIVE","")))</f>
      </c>
      <c r="F43">
        <f>IF($A43="","",IF(Hafta_Ozet!$B4="","",IF(AND(INDEX(Event_Girdi!$C:$C,MATCH($A43,Event_Girdi!$A:$A,0))&lt;=Hafta_Ozet!$C4,INDEX(Event_Girdi!$D:$D,MATCH($A43,Event_Girdi!$A:$A,0))&gt;=Hafta_Ozet!$B4),"ACTIVE","")))</f>
      </c>
      <c r="G43">
        <f>IF($A43="","",IF(Hafta_Ozet!$B5="","",IF(AND(INDEX(Event_Girdi!$C:$C,MATCH($A43,Event_Girdi!$A:$A,0))&lt;=Hafta_Ozet!$C5,INDEX(Event_Girdi!$D:$D,MATCH($A43,Event_Girdi!$A:$A,0))&gt;=Hafta_Ozet!$B5),"ACTIVE","")))</f>
      </c>
      <c r="H43">
        <f>IF($A43="","",IF(Hafta_Ozet!$B6="","",IF(AND(INDEX(Event_Girdi!$C:$C,MATCH($A43,Event_Girdi!$A:$A,0))&lt;=Hafta_Ozet!$C6,INDEX(Event_Girdi!$D:$D,MATCH($A43,Event_Girdi!$A:$A,0))&gt;=Hafta_Ozet!$B6),"ACTIVE","")))</f>
      </c>
      <c r="I43">
        <f>IF($A43="","",IF(Hafta_Ozet!$B7="","",IF(AND(INDEX(Event_Girdi!$C:$C,MATCH($A43,Event_Girdi!$A:$A,0))&lt;=Hafta_Ozet!$C7,INDEX(Event_Girdi!$D:$D,MATCH($A43,Event_Girdi!$A:$A,0))&gt;=Hafta_Ozet!$B7),"ACTIVE","")))</f>
      </c>
      <c r="J43">
        <f>IF($A43="","",IF(Hafta_Ozet!$B8="","",IF(AND(INDEX(Event_Girdi!$C:$C,MATCH($A43,Event_Girdi!$A:$A,0))&lt;=Hafta_Ozet!$C8,INDEX(Event_Girdi!$D:$D,MATCH($A43,Event_Girdi!$A:$A,0))&gt;=Hafta_Ozet!$B8),"ACTIVE","")))</f>
      </c>
      <c r="K43">
        <f>IF($A43="","",IF(Hafta_Ozet!$B9="","",IF(AND(INDEX(Event_Girdi!$C:$C,MATCH($A43,Event_Girdi!$A:$A,0))&lt;=Hafta_Ozet!$C9,INDEX(Event_Girdi!$D:$D,MATCH($A43,Event_Girdi!$A:$A,0))&gt;=Hafta_Ozet!$B9),"ACTIVE","")))</f>
      </c>
      <c r="L43">
        <f>IF($A43="","",IF(Hafta_Ozet!$B10="","",IF(AND(INDEX(Event_Girdi!$C:$C,MATCH($A43,Event_Girdi!$A:$A,0))&lt;=Hafta_Ozet!$C10,INDEX(Event_Girdi!$D:$D,MATCH($A43,Event_Girdi!$A:$A,0))&gt;=Hafta_Ozet!$B10),"ACTIVE","")))</f>
      </c>
      <c r="M43">
        <f>IF($A43="","",IF(Hafta_Ozet!$B11="","",IF(AND(INDEX(Event_Girdi!$C:$C,MATCH($A43,Event_Girdi!$A:$A,0))&lt;=Hafta_Ozet!$C11,INDEX(Event_Girdi!$D:$D,MATCH($A43,Event_Girdi!$A:$A,0))&gt;=Hafta_Ozet!$B11),"ACTIVE","")))</f>
      </c>
      <c r="N43">
        <f>IF($A43="","",IF(Hafta_Ozet!$B12="","",IF(AND(INDEX(Event_Girdi!$C:$C,MATCH($A43,Event_Girdi!$A:$A,0))&lt;=Hafta_Ozet!$C12,INDEX(Event_Girdi!$D:$D,MATCH($A43,Event_Girdi!$A:$A,0))&gt;=Hafta_Ozet!$B12),"ACTIVE","")))</f>
      </c>
      <c r="O43">
        <f>IF($A43="","",IF(Hafta_Ozet!$B13="","",IF(AND(INDEX(Event_Girdi!$C:$C,MATCH($A43,Event_Girdi!$A:$A,0))&lt;=Hafta_Ozet!$C13,INDEX(Event_Girdi!$D:$D,MATCH($A43,Event_Girdi!$A:$A,0))&gt;=Hafta_Ozet!$B13),"ACTIVE","")))</f>
      </c>
      <c r="P43">
        <f>IF($A43="","",IF(Hafta_Ozet!$B14="","",IF(AND(INDEX(Event_Girdi!$C:$C,MATCH($A43,Event_Girdi!$A:$A,0))&lt;=Hafta_Ozet!$C14,INDEX(Event_Girdi!$D:$D,MATCH($A43,Event_Girdi!$A:$A,0))&gt;=Hafta_Ozet!$B14),"ACTIVE","")))</f>
      </c>
      <c r="Q43">
        <f>IF($A43="","",IF(Hafta_Ozet!$B15="","",IF(AND(INDEX(Event_Girdi!$C:$C,MATCH($A43,Event_Girdi!$A:$A,0))&lt;=Hafta_Ozet!$C15,INDEX(Event_Girdi!$D:$D,MATCH($A43,Event_Girdi!$A:$A,0))&gt;=Hafta_Ozet!$B15),"ACTIVE","")))</f>
      </c>
      <c r="R43">
        <f>IF($A43="","",IF(Hafta_Ozet!$B16="","",IF(AND(INDEX(Event_Girdi!$C:$C,MATCH($A43,Event_Girdi!$A:$A,0))&lt;=Hafta_Ozet!$C16,INDEX(Event_Girdi!$D:$D,MATCH($A43,Event_Girdi!$A:$A,0))&gt;=Hafta_Ozet!$B16),"ACTIVE","")))</f>
      </c>
      <c r="S43">
        <f>IF($A43="","",IF(Hafta_Ozet!$B17="","",IF(AND(INDEX(Event_Girdi!$C:$C,MATCH($A43,Event_Girdi!$A:$A,0))&lt;=Hafta_Ozet!$C17,INDEX(Event_Girdi!$D:$D,MATCH($A43,Event_Girdi!$A:$A,0))&gt;=Hafta_Ozet!$B17),"ACTIVE","")))</f>
      </c>
      <c r="T43">
        <f>IF($A43="","",IF(Hafta_Ozet!$B18="","",IF(AND(INDEX(Event_Girdi!$C:$C,MATCH($A43,Event_Girdi!$A:$A,0))&lt;=Hafta_Ozet!$C18,INDEX(Event_Girdi!$D:$D,MATCH($A43,Event_Girdi!$A:$A,0))&gt;=Hafta_Ozet!$B18),"ACTIVE","")))</f>
      </c>
      <c r="U43">
        <f>IF($A43="","",IF(Hafta_Ozet!$B19="","",IF(AND(INDEX(Event_Girdi!$C:$C,MATCH($A43,Event_Girdi!$A:$A,0))&lt;=Hafta_Ozet!$C19,INDEX(Event_Girdi!$D:$D,MATCH($A43,Event_Girdi!$A:$A,0))&gt;=Hafta_Ozet!$B19),"ACTIVE","")))</f>
      </c>
      <c r="V43">
        <f>IF($A43="","",IF(Hafta_Ozet!$B20="","",IF(AND(INDEX(Event_Girdi!$C:$C,MATCH($A43,Event_Girdi!$A:$A,0))&lt;=Hafta_Ozet!$C20,INDEX(Event_Girdi!$D:$D,MATCH($A43,Event_Girdi!$A:$A,0))&gt;=Hafta_Ozet!$B20),"ACTIVE","")))</f>
      </c>
      <c r="W43">
        <f>IF($A43="","",IF(Hafta_Ozet!$B21="","",IF(AND(INDEX(Event_Girdi!$C:$C,MATCH($A43,Event_Girdi!$A:$A,0))&lt;=Hafta_Ozet!$C21,INDEX(Event_Girdi!$D:$D,MATCH($A43,Event_Girdi!$A:$A,0))&gt;=Hafta_Ozet!$B21),"ACTIVE","")))</f>
      </c>
    </row>
    <row r="44">
      <c r="A44">
        <f>IFERROR(INDEX(FILTER(Event_Girdi!$A$2:$A,Event_Girdi!$G$2:$G="Evet"),13),"")</f>
      </c>
      <c r="B44">
        <f>IF($A44="","",INDEX(Event_Girdi!$B:$B,MATCH($A44,Event_Girdi!$A:$A,0)))</f>
      </c>
      <c r="C44">
        <f>IF($A44="","",INDEX(Event_Girdi!$E:$E,MATCH($A44,Event_Girdi!$A:$A,0)))</f>
      </c>
      <c r="D44">
        <f>IF($A44="","",IF(Hafta_Ozet!$B2="","",IF(AND(INDEX(Event_Girdi!$C:$C,MATCH($A44,Event_Girdi!$A:$A,0))&lt;=Hafta_Ozet!$C2,INDEX(Event_Girdi!$D:$D,MATCH($A44,Event_Girdi!$A:$A,0))&gt;=Hafta_Ozet!$B2),"ACTIVE","")))</f>
      </c>
      <c r="E44">
        <f>IF($A44="","",IF(Hafta_Ozet!$B3="","",IF(AND(INDEX(Event_Girdi!$C:$C,MATCH($A44,Event_Girdi!$A:$A,0))&lt;=Hafta_Ozet!$C3,INDEX(Event_Girdi!$D:$D,MATCH($A44,Event_Girdi!$A:$A,0))&gt;=Hafta_Ozet!$B3),"ACTIVE","")))</f>
      </c>
      <c r="F44">
        <f>IF($A44="","",IF(Hafta_Ozet!$B4="","",IF(AND(INDEX(Event_Girdi!$C:$C,MATCH($A44,Event_Girdi!$A:$A,0))&lt;=Hafta_Ozet!$C4,INDEX(Event_Girdi!$D:$D,MATCH($A44,Event_Girdi!$A:$A,0))&gt;=Hafta_Ozet!$B4),"ACTIVE","")))</f>
      </c>
      <c r="G44">
        <f>IF($A44="","",IF(Hafta_Ozet!$B5="","",IF(AND(INDEX(Event_Girdi!$C:$C,MATCH($A44,Event_Girdi!$A:$A,0))&lt;=Hafta_Ozet!$C5,INDEX(Event_Girdi!$D:$D,MATCH($A44,Event_Girdi!$A:$A,0))&gt;=Hafta_Ozet!$B5),"ACTIVE","")))</f>
      </c>
      <c r="H44">
        <f>IF($A44="","",IF(Hafta_Ozet!$B6="","",IF(AND(INDEX(Event_Girdi!$C:$C,MATCH($A44,Event_Girdi!$A:$A,0))&lt;=Hafta_Ozet!$C6,INDEX(Event_Girdi!$D:$D,MATCH($A44,Event_Girdi!$A:$A,0))&gt;=Hafta_Ozet!$B6),"ACTIVE","")))</f>
      </c>
      <c r="I44">
        <f>IF($A44="","",IF(Hafta_Ozet!$B7="","",IF(AND(INDEX(Event_Girdi!$C:$C,MATCH($A44,Event_Girdi!$A:$A,0))&lt;=Hafta_Ozet!$C7,INDEX(Event_Girdi!$D:$D,MATCH($A44,Event_Girdi!$A:$A,0))&gt;=Hafta_Ozet!$B7),"ACTIVE","")))</f>
      </c>
      <c r="J44">
        <f>IF($A44="","",IF(Hafta_Ozet!$B8="","",IF(AND(INDEX(Event_Girdi!$C:$C,MATCH($A44,Event_Girdi!$A:$A,0))&lt;=Hafta_Ozet!$C8,INDEX(Event_Girdi!$D:$D,MATCH($A44,Event_Girdi!$A:$A,0))&gt;=Hafta_Ozet!$B8),"ACTIVE","")))</f>
      </c>
      <c r="K44">
        <f>IF($A44="","",IF(Hafta_Ozet!$B9="","",IF(AND(INDEX(Event_Girdi!$C:$C,MATCH($A44,Event_Girdi!$A:$A,0))&lt;=Hafta_Ozet!$C9,INDEX(Event_Girdi!$D:$D,MATCH($A44,Event_Girdi!$A:$A,0))&gt;=Hafta_Ozet!$B9),"ACTIVE","")))</f>
      </c>
      <c r="L44">
        <f>IF($A44="","",IF(Hafta_Ozet!$B10="","",IF(AND(INDEX(Event_Girdi!$C:$C,MATCH($A44,Event_Girdi!$A:$A,0))&lt;=Hafta_Ozet!$C10,INDEX(Event_Girdi!$D:$D,MATCH($A44,Event_Girdi!$A:$A,0))&gt;=Hafta_Ozet!$B10),"ACTIVE","")))</f>
      </c>
      <c r="M44">
        <f>IF($A44="","",IF(Hafta_Ozet!$B11="","",IF(AND(INDEX(Event_Girdi!$C:$C,MATCH($A44,Event_Girdi!$A:$A,0))&lt;=Hafta_Ozet!$C11,INDEX(Event_Girdi!$D:$D,MATCH($A44,Event_Girdi!$A:$A,0))&gt;=Hafta_Ozet!$B11),"ACTIVE","")))</f>
      </c>
      <c r="N44">
        <f>IF($A44="","",IF(Hafta_Ozet!$B12="","",IF(AND(INDEX(Event_Girdi!$C:$C,MATCH($A44,Event_Girdi!$A:$A,0))&lt;=Hafta_Ozet!$C12,INDEX(Event_Girdi!$D:$D,MATCH($A44,Event_Girdi!$A:$A,0))&gt;=Hafta_Ozet!$B12),"ACTIVE","")))</f>
      </c>
      <c r="O44">
        <f>IF($A44="","",IF(Hafta_Ozet!$B13="","",IF(AND(INDEX(Event_Girdi!$C:$C,MATCH($A44,Event_Girdi!$A:$A,0))&lt;=Hafta_Ozet!$C13,INDEX(Event_Girdi!$D:$D,MATCH($A44,Event_Girdi!$A:$A,0))&gt;=Hafta_Ozet!$B13),"ACTIVE","")))</f>
      </c>
      <c r="P44">
        <f>IF($A44="","",IF(Hafta_Ozet!$B14="","",IF(AND(INDEX(Event_Girdi!$C:$C,MATCH($A44,Event_Girdi!$A:$A,0))&lt;=Hafta_Ozet!$C14,INDEX(Event_Girdi!$D:$D,MATCH($A44,Event_Girdi!$A:$A,0))&gt;=Hafta_Ozet!$B14),"ACTIVE","")))</f>
      </c>
      <c r="Q44">
        <f>IF($A44="","",IF(Hafta_Ozet!$B15="","",IF(AND(INDEX(Event_Girdi!$C:$C,MATCH($A44,Event_Girdi!$A:$A,0))&lt;=Hafta_Ozet!$C15,INDEX(Event_Girdi!$D:$D,MATCH($A44,Event_Girdi!$A:$A,0))&gt;=Hafta_Ozet!$B15),"ACTIVE","")))</f>
      </c>
      <c r="R44">
        <f>IF($A44="","",IF(Hafta_Ozet!$B16="","",IF(AND(INDEX(Event_Girdi!$C:$C,MATCH($A44,Event_Girdi!$A:$A,0))&lt;=Hafta_Ozet!$C16,INDEX(Event_Girdi!$D:$D,MATCH($A44,Event_Girdi!$A:$A,0))&gt;=Hafta_Ozet!$B16),"ACTIVE","")))</f>
      </c>
      <c r="S44">
        <f>IF($A44="","",IF(Hafta_Ozet!$B17="","",IF(AND(INDEX(Event_Girdi!$C:$C,MATCH($A44,Event_Girdi!$A:$A,0))&lt;=Hafta_Ozet!$C17,INDEX(Event_Girdi!$D:$D,MATCH($A44,Event_Girdi!$A:$A,0))&gt;=Hafta_Ozet!$B17),"ACTIVE","")))</f>
      </c>
      <c r="T44">
        <f>IF($A44="","",IF(Hafta_Ozet!$B18="","",IF(AND(INDEX(Event_Girdi!$C:$C,MATCH($A44,Event_Girdi!$A:$A,0))&lt;=Hafta_Ozet!$C18,INDEX(Event_Girdi!$D:$D,MATCH($A44,Event_Girdi!$A:$A,0))&gt;=Hafta_Ozet!$B18),"ACTIVE","")))</f>
      </c>
      <c r="U44">
        <f>IF($A44="","",IF(Hafta_Ozet!$B19="","",IF(AND(INDEX(Event_Girdi!$C:$C,MATCH($A44,Event_Girdi!$A:$A,0))&lt;=Hafta_Ozet!$C19,INDEX(Event_Girdi!$D:$D,MATCH($A44,Event_Girdi!$A:$A,0))&gt;=Hafta_Ozet!$B19),"ACTIVE","")))</f>
      </c>
      <c r="V44">
        <f>IF($A44="","",IF(Hafta_Ozet!$B20="","",IF(AND(INDEX(Event_Girdi!$C:$C,MATCH($A44,Event_Girdi!$A:$A,0))&lt;=Hafta_Ozet!$C20,INDEX(Event_Girdi!$D:$D,MATCH($A44,Event_Girdi!$A:$A,0))&gt;=Hafta_Ozet!$B20),"ACTIVE","")))</f>
      </c>
      <c r="W44">
        <f>IF($A44="","",IF(Hafta_Ozet!$B21="","",IF(AND(INDEX(Event_Girdi!$C:$C,MATCH($A44,Event_Girdi!$A:$A,0))&lt;=Hafta_Ozet!$C21,INDEX(Event_Girdi!$D:$D,MATCH($A44,Event_Girdi!$A:$A,0))&gt;=Hafta_Ozet!$B21),"ACTIVE","")))</f>
      </c>
    </row>
    <row r="45">
      <c r="A45">
        <f>IFERROR(INDEX(FILTER(Event_Girdi!$A$2:$A,Event_Girdi!$G$2:$G="Evet"),14),"")</f>
      </c>
      <c r="B45">
        <f>IF($A45="","",INDEX(Event_Girdi!$B:$B,MATCH($A45,Event_Girdi!$A:$A,0)))</f>
      </c>
      <c r="C45">
        <f>IF($A45="","",INDEX(Event_Girdi!$E:$E,MATCH($A45,Event_Girdi!$A:$A,0)))</f>
      </c>
      <c r="D45">
        <f>IF($A45="","",IF(Hafta_Ozet!$B2="","",IF(AND(INDEX(Event_Girdi!$C:$C,MATCH($A45,Event_Girdi!$A:$A,0))&lt;=Hafta_Ozet!$C2,INDEX(Event_Girdi!$D:$D,MATCH($A45,Event_Girdi!$A:$A,0))&gt;=Hafta_Ozet!$B2),"ACTIVE","")))</f>
      </c>
      <c r="E45">
        <f>IF($A45="","",IF(Hafta_Ozet!$B3="","",IF(AND(INDEX(Event_Girdi!$C:$C,MATCH($A45,Event_Girdi!$A:$A,0))&lt;=Hafta_Ozet!$C3,INDEX(Event_Girdi!$D:$D,MATCH($A45,Event_Girdi!$A:$A,0))&gt;=Hafta_Ozet!$B3),"ACTIVE","")))</f>
      </c>
      <c r="F45">
        <f>IF($A45="","",IF(Hafta_Ozet!$B4="","",IF(AND(INDEX(Event_Girdi!$C:$C,MATCH($A45,Event_Girdi!$A:$A,0))&lt;=Hafta_Ozet!$C4,INDEX(Event_Girdi!$D:$D,MATCH($A45,Event_Girdi!$A:$A,0))&gt;=Hafta_Ozet!$B4),"ACTIVE","")))</f>
      </c>
      <c r="G45">
        <f>IF($A45="","",IF(Hafta_Ozet!$B5="","",IF(AND(INDEX(Event_Girdi!$C:$C,MATCH($A45,Event_Girdi!$A:$A,0))&lt;=Hafta_Ozet!$C5,INDEX(Event_Girdi!$D:$D,MATCH($A45,Event_Girdi!$A:$A,0))&gt;=Hafta_Ozet!$B5),"ACTIVE","")))</f>
      </c>
      <c r="H45">
        <f>IF($A45="","",IF(Hafta_Ozet!$B6="","",IF(AND(INDEX(Event_Girdi!$C:$C,MATCH($A45,Event_Girdi!$A:$A,0))&lt;=Hafta_Ozet!$C6,INDEX(Event_Girdi!$D:$D,MATCH($A45,Event_Girdi!$A:$A,0))&gt;=Hafta_Ozet!$B6),"ACTIVE","")))</f>
      </c>
      <c r="I45">
        <f>IF($A45="","",IF(Hafta_Ozet!$B7="","",IF(AND(INDEX(Event_Girdi!$C:$C,MATCH($A45,Event_Girdi!$A:$A,0))&lt;=Hafta_Ozet!$C7,INDEX(Event_Girdi!$D:$D,MATCH($A45,Event_Girdi!$A:$A,0))&gt;=Hafta_Ozet!$B7),"ACTIVE","")))</f>
      </c>
      <c r="J45">
        <f>IF($A45="","",IF(Hafta_Ozet!$B8="","",IF(AND(INDEX(Event_Girdi!$C:$C,MATCH($A45,Event_Girdi!$A:$A,0))&lt;=Hafta_Ozet!$C8,INDEX(Event_Girdi!$D:$D,MATCH($A45,Event_Girdi!$A:$A,0))&gt;=Hafta_Ozet!$B8),"ACTIVE","")))</f>
      </c>
      <c r="K45">
        <f>IF($A45="","",IF(Hafta_Ozet!$B9="","",IF(AND(INDEX(Event_Girdi!$C:$C,MATCH($A45,Event_Girdi!$A:$A,0))&lt;=Hafta_Ozet!$C9,INDEX(Event_Girdi!$D:$D,MATCH($A45,Event_Girdi!$A:$A,0))&gt;=Hafta_Ozet!$B9),"ACTIVE","")))</f>
      </c>
      <c r="L45">
        <f>IF($A45="","",IF(Hafta_Ozet!$B10="","",IF(AND(INDEX(Event_Girdi!$C:$C,MATCH($A45,Event_Girdi!$A:$A,0))&lt;=Hafta_Ozet!$C10,INDEX(Event_Girdi!$D:$D,MATCH($A45,Event_Girdi!$A:$A,0))&gt;=Hafta_Ozet!$B10),"ACTIVE","")))</f>
      </c>
      <c r="M45">
        <f>IF($A45="","",IF(Hafta_Ozet!$B11="","",IF(AND(INDEX(Event_Girdi!$C:$C,MATCH($A45,Event_Girdi!$A:$A,0))&lt;=Hafta_Ozet!$C11,INDEX(Event_Girdi!$D:$D,MATCH($A45,Event_Girdi!$A:$A,0))&gt;=Hafta_Ozet!$B11),"ACTIVE","")))</f>
      </c>
      <c r="N45">
        <f>IF($A45="","",IF(Hafta_Ozet!$B12="","",IF(AND(INDEX(Event_Girdi!$C:$C,MATCH($A45,Event_Girdi!$A:$A,0))&lt;=Hafta_Ozet!$C12,INDEX(Event_Girdi!$D:$D,MATCH($A45,Event_Girdi!$A:$A,0))&gt;=Hafta_Ozet!$B12),"ACTIVE","")))</f>
      </c>
      <c r="O45">
        <f>IF($A45="","",IF(Hafta_Ozet!$B13="","",IF(AND(INDEX(Event_Girdi!$C:$C,MATCH($A45,Event_Girdi!$A:$A,0))&lt;=Hafta_Ozet!$C13,INDEX(Event_Girdi!$D:$D,MATCH($A45,Event_Girdi!$A:$A,0))&gt;=Hafta_Ozet!$B13),"ACTIVE","")))</f>
      </c>
      <c r="P45">
        <f>IF($A45="","",IF(Hafta_Ozet!$B14="","",IF(AND(INDEX(Event_Girdi!$C:$C,MATCH($A45,Event_Girdi!$A:$A,0))&lt;=Hafta_Ozet!$C14,INDEX(Event_Girdi!$D:$D,MATCH($A45,Event_Girdi!$A:$A,0))&gt;=Hafta_Ozet!$B14),"ACTIVE","")))</f>
      </c>
      <c r="Q45">
        <f>IF($A45="","",IF(Hafta_Ozet!$B15="","",IF(AND(INDEX(Event_Girdi!$C:$C,MATCH($A45,Event_Girdi!$A:$A,0))&lt;=Hafta_Ozet!$C15,INDEX(Event_Girdi!$D:$D,MATCH($A45,Event_Girdi!$A:$A,0))&gt;=Hafta_Ozet!$B15),"ACTIVE","")))</f>
      </c>
      <c r="R45">
        <f>IF($A45="","",IF(Hafta_Ozet!$B16="","",IF(AND(INDEX(Event_Girdi!$C:$C,MATCH($A45,Event_Girdi!$A:$A,0))&lt;=Hafta_Ozet!$C16,INDEX(Event_Girdi!$D:$D,MATCH($A45,Event_Girdi!$A:$A,0))&gt;=Hafta_Ozet!$B16),"ACTIVE","")))</f>
      </c>
      <c r="S45">
        <f>IF($A45="","",IF(Hafta_Ozet!$B17="","",IF(AND(INDEX(Event_Girdi!$C:$C,MATCH($A45,Event_Girdi!$A:$A,0))&lt;=Hafta_Ozet!$C17,INDEX(Event_Girdi!$D:$D,MATCH($A45,Event_Girdi!$A:$A,0))&gt;=Hafta_Ozet!$B17),"ACTIVE","")))</f>
      </c>
      <c r="T45">
        <f>IF($A45="","",IF(Hafta_Ozet!$B18="","",IF(AND(INDEX(Event_Girdi!$C:$C,MATCH($A45,Event_Girdi!$A:$A,0))&lt;=Hafta_Ozet!$C18,INDEX(Event_Girdi!$D:$D,MATCH($A45,Event_Girdi!$A:$A,0))&gt;=Hafta_Ozet!$B18),"ACTIVE","")))</f>
      </c>
      <c r="U45">
        <f>IF($A45="","",IF(Hafta_Ozet!$B19="","",IF(AND(INDEX(Event_Girdi!$C:$C,MATCH($A45,Event_Girdi!$A:$A,0))&lt;=Hafta_Ozet!$C19,INDEX(Event_Girdi!$D:$D,MATCH($A45,Event_Girdi!$A:$A,0))&gt;=Hafta_Ozet!$B19),"ACTIVE","")))</f>
      </c>
      <c r="V45">
        <f>IF($A45="","",IF(Hafta_Ozet!$B20="","",IF(AND(INDEX(Event_Girdi!$C:$C,MATCH($A45,Event_Girdi!$A:$A,0))&lt;=Hafta_Ozet!$C20,INDEX(Event_Girdi!$D:$D,MATCH($A45,Event_Girdi!$A:$A,0))&gt;=Hafta_Ozet!$B20),"ACTIVE","")))</f>
      </c>
      <c r="W45">
        <f>IF($A45="","",IF(Hafta_Ozet!$B21="","",IF(AND(INDEX(Event_Girdi!$C:$C,MATCH($A45,Event_Girdi!$A:$A,0))&lt;=Hafta_Ozet!$C21,INDEX(Event_Girdi!$D:$D,MATCH($A45,Event_Girdi!$A:$A,0))&gt;=Hafta_Ozet!$B21),"ACTIVE","")))</f>
      </c>
    </row>
    <row r="46">
      <c r="A46">
        <f>IFERROR(INDEX(FILTER(Event_Girdi!$A$2:$A,Event_Girdi!$G$2:$G="Evet"),15),"")</f>
      </c>
      <c r="B46">
        <f>IF($A46="","",INDEX(Event_Girdi!$B:$B,MATCH($A46,Event_Girdi!$A:$A,0)))</f>
      </c>
      <c r="C46">
        <f>IF($A46="","",INDEX(Event_Girdi!$E:$E,MATCH($A46,Event_Girdi!$A:$A,0)))</f>
      </c>
      <c r="D46">
        <f>IF($A46="","",IF(Hafta_Ozet!$B2="","",IF(AND(INDEX(Event_Girdi!$C:$C,MATCH($A46,Event_Girdi!$A:$A,0))&lt;=Hafta_Ozet!$C2,INDEX(Event_Girdi!$D:$D,MATCH($A46,Event_Girdi!$A:$A,0))&gt;=Hafta_Ozet!$B2),"ACTIVE","")))</f>
      </c>
      <c r="E46">
        <f>IF($A46="","",IF(Hafta_Ozet!$B3="","",IF(AND(INDEX(Event_Girdi!$C:$C,MATCH($A46,Event_Girdi!$A:$A,0))&lt;=Hafta_Ozet!$C3,INDEX(Event_Girdi!$D:$D,MATCH($A46,Event_Girdi!$A:$A,0))&gt;=Hafta_Ozet!$B3),"ACTIVE","")))</f>
      </c>
      <c r="F46">
        <f>IF($A46="","",IF(Hafta_Ozet!$B4="","",IF(AND(INDEX(Event_Girdi!$C:$C,MATCH($A46,Event_Girdi!$A:$A,0))&lt;=Hafta_Ozet!$C4,INDEX(Event_Girdi!$D:$D,MATCH($A46,Event_Girdi!$A:$A,0))&gt;=Hafta_Ozet!$B4),"ACTIVE","")))</f>
      </c>
      <c r="G46">
        <f>IF($A46="","",IF(Hafta_Ozet!$B5="","",IF(AND(INDEX(Event_Girdi!$C:$C,MATCH($A46,Event_Girdi!$A:$A,0))&lt;=Hafta_Ozet!$C5,INDEX(Event_Girdi!$D:$D,MATCH($A46,Event_Girdi!$A:$A,0))&gt;=Hafta_Ozet!$B5),"ACTIVE","")))</f>
      </c>
      <c r="H46">
        <f>IF($A46="","",IF(Hafta_Ozet!$B6="","",IF(AND(INDEX(Event_Girdi!$C:$C,MATCH($A46,Event_Girdi!$A:$A,0))&lt;=Hafta_Ozet!$C6,INDEX(Event_Girdi!$D:$D,MATCH($A46,Event_Girdi!$A:$A,0))&gt;=Hafta_Ozet!$B6),"ACTIVE","")))</f>
      </c>
      <c r="I46">
        <f>IF($A46="","",IF(Hafta_Ozet!$B7="","",IF(AND(INDEX(Event_Girdi!$C:$C,MATCH($A46,Event_Girdi!$A:$A,0))&lt;=Hafta_Ozet!$C7,INDEX(Event_Girdi!$D:$D,MATCH($A46,Event_Girdi!$A:$A,0))&gt;=Hafta_Ozet!$B7),"ACTIVE","")))</f>
      </c>
      <c r="J46">
        <f>IF($A46="","",IF(Hafta_Ozet!$B8="","",IF(AND(INDEX(Event_Girdi!$C:$C,MATCH($A46,Event_Girdi!$A:$A,0))&lt;=Hafta_Ozet!$C8,INDEX(Event_Girdi!$D:$D,MATCH($A46,Event_Girdi!$A:$A,0))&gt;=Hafta_Ozet!$B8),"ACTIVE","")))</f>
      </c>
      <c r="K46">
        <f>IF($A46="","",IF(Hafta_Ozet!$B9="","",IF(AND(INDEX(Event_Girdi!$C:$C,MATCH($A46,Event_Girdi!$A:$A,0))&lt;=Hafta_Ozet!$C9,INDEX(Event_Girdi!$D:$D,MATCH($A46,Event_Girdi!$A:$A,0))&gt;=Hafta_Ozet!$B9),"ACTIVE","")))</f>
      </c>
      <c r="L46">
        <f>IF($A46="","",IF(Hafta_Ozet!$B10="","",IF(AND(INDEX(Event_Girdi!$C:$C,MATCH($A46,Event_Girdi!$A:$A,0))&lt;=Hafta_Ozet!$C10,INDEX(Event_Girdi!$D:$D,MATCH($A46,Event_Girdi!$A:$A,0))&gt;=Hafta_Ozet!$B10),"ACTIVE","")))</f>
      </c>
      <c r="M46">
        <f>IF($A46="","",IF(Hafta_Ozet!$B11="","",IF(AND(INDEX(Event_Girdi!$C:$C,MATCH($A46,Event_Girdi!$A:$A,0))&lt;=Hafta_Ozet!$C11,INDEX(Event_Girdi!$D:$D,MATCH($A46,Event_Girdi!$A:$A,0))&gt;=Hafta_Ozet!$B11),"ACTIVE","")))</f>
      </c>
      <c r="N46">
        <f>IF($A46="","",IF(Hafta_Ozet!$B12="","",IF(AND(INDEX(Event_Girdi!$C:$C,MATCH($A46,Event_Girdi!$A:$A,0))&lt;=Hafta_Ozet!$C12,INDEX(Event_Girdi!$D:$D,MATCH($A46,Event_Girdi!$A:$A,0))&gt;=Hafta_Ozet!$B12),"ACTIVE","")))</f>
      </c>
      <c r="O46">
        <f>IF($A46="","",IF(Hafta_Ozet!$B13="","",IF(AND(INDEX(Event_Girdi!$C:$C,MATCH($A46,Event_Girdi!$A:$A,0))&lt;=Hafta_Ozet!$C13,INDEX(Event_Girdi!$D:$D,MATCH($A46,Event_Girdi!$A:$A,0))&gt;=Hafta_Ozet!$B13),"ACTIVE","")))</f>
      </c>
      <c r="P46">
        <f>IF($A46="","",IF(Hafta_Ozet!$B14="","",IF(AND(INDEX(Event_Girdi!$C:$C,MATCH($A46,Event_Girdi!$A:$A,0))&lt;=Hafta_Ozet!$C14,INDEX(Event_Girdi!$D:$D,MATCH($A46,Event_Girdi!$A:$A,0))&gt;=Hafta_Ozet!$B14),"ACTIVE","")))</f>
      </c>
      <c r="Q46">
        <f>IF($A46="","",IF(Hafta_Ozet!$B15="","",IF(AND(INDEX(Event_Girdi!$C:$C,MATCH($A46,Event_Girdi!$A:$A,0))&lt;=Hafta_Ozet!$C15,INDEX(Event_Girdi!$D:$D,MATCH($A46,Event_Girdi!$A:$A,0))&gt;=Hafta_Ozet!$B15),"ACTIVE","")))</f>
      </c>
      <c r="R46">
        <f>IF($A46="","",IF(Hafta_Ozet!$B16="","",IF(AND(INDEX(Event_Girdi!$C:$C,MATCH($A46,Event_Girdi!$A:$A,0))&lt;=Hafta_Ozet!$C16,INDEX(Event_Girdi!$D:$D,MATCH($A46,Event_Girdi!$A:$A,0))&gt;=Hafta_Ozet!$B16),"ACTIVE","")))</f>
      </c>
      <c r="S46">
        <f>IF($A46="","",IF(Hafta_Ozet!$B17="","",IF(AND(INDEX(Event_Girdi!$C:$C,MATCH($A46,Event_Girdi!$A:$A,0))&lt;=Hafta_Ozet!$C17,INDEX(Event_Girdi!$D:$D,MATCH($A46,Event_Girdi!$A:$A,0))&gt;=Hafta_Ozet!$B17),"ACTIVE","")))</f>
      </c>
      <c r="T46">
        <f>IF($A46="","",IF(Hafta_Ozet!$B18="","",IF(AND(INDEX(Event_Girdi!$C:$C,MATCH($A46,Event_Girdi!$A:$A,0))&lt;=Hafta_Ozet!$C18,INDEX(Event_Girdi!$D:$D,MATCH($A46,Event_Girdi!$A:$A,0))&gt;=Hafta_Ozet!$B18),"ACTIVE","")))</f>
      </c>
      <c r="U46">
        <f>IF($A46="","",IF(Hafta_Ozet!$B19="","",IF(AND(INDEX(Event_Girdi!$C:$C,MATCH($A46,Event_Girdi!$A:$A,0))&lt;=Hafta_Ozet!$C19,INDEX(Event_Girdi!$D:$D,MATCH($A46,Event_Girdi!$A:$A,0))&gt;=Hafta_Ozet!$B19),"ACTIVE","")))</f>
      </c>
      <c r="V46">
        <f>IF($A46="","",IF(Hafta_Ozet!$B20="","",IF(AND(INDEX(Event_Girdi!$C:$C,MATCH($A46,Event_Girdi!$A:$A,0))&lt;=Hafta_Ozet!$C20,INDEX(Event_Girdi!$D:$D,MATCH($A46,Event_Girdi!$A:$A,0))&gt;=Hafta_Ozet!$B20),"ACTIVE","")))</f>
      </c>
      <c r="W46">
        <f>IF($A46="","",IF(Hafta_Ozet!$B21="","",IF(AND(INDEX(Event_Girdi!$C:$C,MATCH($A46,Event_Girdi!$A:$A,0))&lt;=Hafta_Ozet!$C21,INDEX(Event_Girdi!$D:$D,MATCH($A46,Event_Girdi!$A:$A,0))&gt;=Hafta_Ozet!$B21),"ACTIVE","")))</f>
      </c>
    </row>
    <row r="47">
      <c r="A47">
        <f>IFERROR(INDEX(FILTER(Event_Girdi!$A$2:$A,Event_Girdi!$G$2:$G="Evet"),16),"")</f>
      </c>
      <c r="B47">
        <f>IF($A47="","",INDEX(Event_Girdi!$B:$B,MATCH($A47,Event_Girdi!$A:$A,0)))</f>
      </c>
      <c r="C47">
        <f>IF($A47="","",INDEX(Event_Girdi!$E:$E,MATCH($A47,Event_Girdi!$A:$A,0)))</f>
      </c>
      <c r="D47">
        <f>IF($A47="","",IF(Hafta_Ozet!$B2="","",IF(AND(INDEX(Event_Girdi!$C:$C,MATCH($A47,Event_Girdi!$A:$A,0))&lt;=Hafta_Ozet!$C2,INDEX(Event_Girdi!$D:$D,MATCH($A47,Event_Girdi!$A:$A,0))&gt;=Hafta_Ozet!$B2),"ACTIVE","")))</f>
      </c>
      <c r="E47">
        <f>IF($A47="","",IF(Hafta_Ozet!$B3="","",IF(AND(INDEX(Event_Girdi!$C:$C,MATCH($A47,Event_Girdi!$A:$A,0))&lt;=Hafta_Ozet!$C3,INDEX(Event_Girdi!$D:$D,MATCH($A47,Event_Girdi!$A:$A,0))&gt;=Hafta_Ozet!$B3),"ACTIVE","")))</f>
      </c>
      <c r="F47">
        <f>IF($A47="","",IF(Hafta_Ozet!$B4="","",IF(AND(INDEX(Event_Girdi!$C:$C,MATCH($A47,Event_Girdi!$A:$A,0))&lt;=Hafta_Ozet!$C4,INDEX(Event_Girdi!$D:$D,MATCH($A47,Event_Girdi!$A:$A,0))&gt;=Hafta_Ozet!$B4),"ACTIVE","")))</f>
      </c>
      <c r="G47">
        <f>IF($A47="","",IF(Hafta_Ozet!$B5="","",IF(AND(INDEX(Event_Girdi!$C:$C,MATCH($A47,Event_Girdi!$A:$A,0))&lt;=Hafta_Ozet!$C5,INDEX(Event_Girdi!$D:$D,MATCH($A47,Event_Girdi!$A:$A,0))&gt;=Hafta_Ozet!$B5),"ACTIVE","")))</f>
      </c>
      <c r="H47">
        <f>IF($A47="","",IF(Hafta_Ozet!$B6="","",IF(AND(INDEX(Event_Girdi!$C:$C,MATCH($A47,Event_Girdi!$A:$A,0))&lt;=Hafta_Ozet!$C6,INDEX(Event_Girdi!$D:$D,MATCH($A47,Event_Girdi!$A:$A,0))&gt;=Hafta_Ozet!$B6),"ACTIVE","")))</f>
      </c>
      <c r="I47">
        <f>IF($A47="","",IF(Hafta_Ozet!$B7="","",IF(AND(INDEX(Event_Girdi!$C:$C,MATCH($A47,Event_Girdi!$A:$A,0))&lt;=Hafta_Ozet!$C7,INDEX(Event_Girdi!$D:$D,MATCH($A47,Event_Girdi!$A:$A,0))&gt;=Hafta_Ozet!$B7),"ACTIVE","")))</f>
      </c>
      <c r="J47">
        <f>IF($A47="","",IF(Hafta_Ozet!$B8="","",IF(AND(INDEX(Event_Girdi!$C:$C,MATCH($A47,Event_Girdi!$A:$A,0))&lt;=Hafta_Ozet!$C8,INDEX(Event_Girdi!$D:$D,MATCH($A47,Event_Girdi!$A:$A,0))&gt;=Hafta_Ozet!$B8),"ACTIVE","")))</f>
      </c>
      <c r="K47">
        <f>IF($A47="","",IF(Hafta_Ozet!$B9="","",IF(AND(INDEX(Event_Girdi!$C:$C,MATCH($A47,Event_Girdi!$A:$A,0))&lt;=Hafta_Ozet!$C9,INDEX(Event_Girdi!$D:$D,MATCH($A47,Event_Girdi!$A:$A,0))&gt;=Hafta_Ozet!$B9),"ACTIVE","")))</f>
      </c>
      <c r="L47">
        <f>IF($A47="","",IF(Hafta_Ozet!$B10="","",IF(AND(INDEX(Event_Girdi!$C:$C,MATCH($A47,Event_Girdi!$A:$A,0))&lt;=Hafta_Ozet!$C10,INDEX(Event_Girdi!$D:$D,MATCH($A47,Event_Girdi!$A:$A,0))&gt;=Hafta_Ozet!$B10),"ACTIVE","")))</f>
      </c>
      <c r="M47">
        <f>IF($A47="","",IF(Hafta_Ozet!$B11="","",IF(AND(INDEX(Event_Girdi!$C:$C,MATCH($A47,Event_Girdi!$A:$A,0))&lt;=Hafta_Ozet!$C11,INDEX(Event_Girdi!$D:$D,MATCH($A47,Event_Girdi!$A:$A,0))&gt;=Hafta_Ozet!$B11),"ACTIVE","")))</f>
      </c>
      <c r="N47">
        <f>IF($A47="","",IF(Hafta_Ozet!$B12="","",IF(AND(INDEX(Event_Girdi!$C:$C,MATCH($A47,Event_Girdi!$A:$A,0))&lt;=Hafta_Ozet!$C12,INDEX(Event_Girdi!$D:$D,MATCH($A47,Event_Girdi!$A:$A,0))&gt;=Hafta_Ozet!$B12),"ACTIVE","")))</f>
      </c>
      <c r="O47">
        <f>IF($A47="","",IF(Hafta_Ozet!$B13="","",IF(AND(INDEX(Event_Girdi!$C:$C,MATCH($A47,Event_Girdi!$A:$A,0))&lt;=Hafta_Ozet!$C13,INDEX(Event_Girdi!$D:$D,MATCH($A47,Event_Girdi!$A:$A,0))&gt;=Hafta_Ozet!$B13),"ACTIVE","")))</f>
      </c>
      <c r="P47">
        <f>IF($A47="","",IF(Hafta_Ozet!$B14="","",IF(AND(INDEX(Event_Girdi!$C:$C,MATCH($A47,Event_Girdi!$A:$A,0))&lt;=Hafta_Ozet!$C14,INDEX(Event_Girdi!$D:$D,MATCH($A47,Event_Girdi!$A:$A,0))&gt;=Hafta_Ozet!$B14),"ACTIVE","")))</f>
      </c>
      <c r="Q47">
        <f>IF($A47="","",IF(Hafta_Ozet!$B15="","",IF(AND(INDEX(Event_Girdi!$C:$C,MATCH($A47,Event_Girdi!$A:$A,0))&lt;=Hafta_Ozet!$C15,INDEX(Event_Girdi!$D:$D,MATCH($A47,Event_Girdi!$A:$A,0))&gt;=Hafta_Ozet!$B15),"ACTIVE","")))</f>
      </c>
      <c r="R47">
        <f>IF($A47="","",IF(Hafta_Ozet!$B16="","",IF(AND(INDEX(Event_Girdi!$C:$C,MATCH($A47,Event_Girdi!$A:$A,0))&lt;=Hafta_Ozet!$C16,INDEX(Event_Girdi!$D:$D,MATCH($A47,Event_Girdi!$A:$A,0))&gt;=Hafta_Ozet!$B16),"ACTIVE","")))</f>
      </c>
      <c r="S47">
        <f>IF($A47="","",IF(Hafta_Ozet!$B17="","",IF(AND(INDEX(Event_Girdi!$C:$C,MATCH($A47,Event_Girdi!$A:$A,0))&lt;=Hafta_Ozet!$C17,INDEX(Event_Girdi!$D:$D,MATCH($A47,Event_Girdi!$A:$A,0))&gt;=Hafta_Ozet!$B17),"ACTIVE","")))</f>
      </c>
      <c r="T47">
        <f>IF($A47="","",IF(Hafta_Ozet!$B18="","",IF(AND(INDEX(Event_Girdi!$C:$C,MATCH($A47,Event_Girdi!$A:$A,0))&lt;=Hafta_Ozet!$C18,INDEX(Event_Girdi!$D:$D,MATCH($A47,Event_Girdi!$A:$A,0))&gt;=Hafta_Ozet!$B18),"ACTIVE","")))</f>
      </c>
      <c r="U47">
        <f>IF($A47="","",IF(Hafta_Ozet!$B19="","",IF(AND(INDEX(Event_Girdi!$C:$C,MATCH($A47,Event_Girdi!$A:$A,0))&lt;=Hafta_Ozet!$C19,INDEX(Event_Girdi!$D:$D,MATCH($A47,Event_Girdi!$A:$A,0))&gt;=Hafta_Ozet!$B19),"ACTIVE","")))</f>
      </c>
      <c r="V47">
        <f>IF($A47="","",IF(Hafta_Ozet!$B20="","",IF(AND(INDEX(Event_Girdi!$C:$C,MATCH($A47,Event_Girdi!$A:$A,0))&lt;=Hafta_Ozet!$C20,INDEX(Event_Girdi!$D:$D,MATCH($A47,Event_Girdi!$A:$A,0))&gt;=Hafta_Ozet!$B20),"ACTIVE","")))</f>
      </c>
      <c r="W47">
        <f>IF($A47="","",IF(Hafta_Ozet!$B21="","",IF(AND(INDEX(Event_Girdi!$C:$C,MATCH($A47,Event_Girdi!$A:$A,0))&lt;=Hafta_Ozet!$C21,INDEX(Event_Girdi!$D:$D,MATCH($A47,Event_Girdi!$A:$A,0))&gt;=Hafta_Ozet!$B21),"ACTIVE","")))</f>
      </c>
    </row>
    <row r="48">
      <c r="A48">
        <f>IFERROR(INDEX(FILTER(Event_Girdi!$A$2:$A,Event_Girdi!$G$2:$G="Evet"),17),"")</f>
      </c>
      <c r="B48">
        <f>IF($A48="","",INDEX(Event_Girdi!$B:$B,MATCH($A48,Event_Girdi!$A:$A,0)))</f>
      </c>
      <c r="C48">
        <f>IF($A48="","",INDEX(Event_Girdi!$E:$E,MATCH($A48,Event_Girdi!$A:$A,0)))</f>
      </c>
      <c r="D48">
        <f>IF($A48="","",IF(Hafta_Ozet!$B2="","",IF(AND(INDEX(Event_Girdi!$C:$C,MATCH($A48,Event_Girdi!$A:$A,0))&lt;=Hafta_Ozet!$C2,INDEX(Event_Girdi!$D:$D,MATCH($A48,Event_Girdi!$A:$A,0))&gt;=Hafta_Ozet!$B2),"ACTIVE","")))</f>
      </c>
      <c r="E48">
        <f>IF($A48="","",IF(Hafta_Ozet!$B3="","",IF(AND(INDEX(Event_Girdi!$C:$C,MATCH($A48,Event_Girdi!$A:$A,0))&lt;=Hafta_Ozet!$C3,INDEX(Event_Girdi!$D:$D,MATCH($A48,Event_Girdi!$A:$A,0))&gt;=Hafta_Ozet!$B3),"ACTIVE","")))</f>
      </c>
      <c r="F48">
        <f>IF($A48="","",IF(Hafta_Ozet!$B4="","",IF(AND(INDEX(Event_Girdi!$C:$C,MATCH($A48,Event_Girdi!$A:$A,0))&lt;=Hafta_Ozet!$C4,INDEX(Event_Girdi!$D:$D,MATCH($A48,Event_Girdi!$A:$A,0))&gt;=Hafta_Ozet!$B4),"ACTIVE","")))</f>
      </c>
      <c r="G48">
        <f>IF($A48="","",IF(Hafta_Ozet!$B5="","",IF(AND(INDEX(Event_Girdi!$C:$C,MATCH($A48,Event_Girdi!$A:$A,0))&lt;=Hafta_Ozet!$C5,INDEX(Event_Girdi!$D:$D,MATCH($A48,Event_Girdi!$A:$A,0))&gt;=Hafta_Ozet!$B5),"ACTIVE","")))</f>
      </c>
      <c r="H48">
        <f>IF($A48="","",IF(Hafta_Ozet!$B6="","",IF(AND(INDEX(Event_Girdi!$C:$C,MATCH($A48,Event_Girdi!$A:$A,0))&lt;=Hafta_Ozet!$C6,INDEX(Event_Girdi!$D:$D,MATCH($A48,Event_Girdi!$A:$A,0))&gt;=Hafta_Ozet!$B6),"ACTIVE","")))</f>
      </c>
      <c r="I48">
        <f>IF($A48="","",IF(Hafta_Ozet!$B7="","",IF(AND(INDEX(Event_Girdi!$C:$C,MATCH($A48,Event_Girdi!$A:$A,0))&lt;=Hafta_Ozet!$C7,INDEX(Event_Girdi!$D:$D,MATCH($A48,Event_Girdi!$A:$A,0))&gt;=Hafta_Ozet!$B7),"ACTIVE","")))</f>
      </c>
      <c r="J48">
        <f>IF($A48="","",IF(Hafta_Ozet!$B8="","",IF(AND(INDEX(Event_Girdi!$C:$C,MATCH($A48,Event_Girdi!$A:$A,0))&lt;=Hafta_Ozet!$C8,INDEX(Event_Girdi!$D:$D,MATCH($A48,Event_Girdi!$A:$A,0))&gt;=Hafta_Ozet!$B8),"ACTIVE","")))</f>
      </c>
      <c r="K48">
        <f>IF($A48="","",IF(Hafta_Ozet!$B9="","",IF(AND(INDEX(Event_Girdi!$C:$C,MATCH($A48,Event_Girdi!$A:$A,0))&lt;=Hafta_Ozet!$C9,INDEX(Event_Girdi!$D:$D,MATCH($A48,Event_Girdi!$A:$A,0))&gt;=Hafta_Ozet!$B9),"ACTIVE","")))</f>
      </c>
      <c r="L48">
        <f>IF($A48="","",IF(Hafta_Ozet!$B10="","",IF(AND(INDEX(Event_Girdi!$C:$C,MATCH($A48,Event_Girdi!$A:$A,0))&lt;=Hafta_Ozet!$C10,INDEX(Event_Girdi!$D:$D,MATCH($A48,Event_Girdi!$A:$A,0))&gt;=Hafta_Ozet!$B10),"ACTIVE","")))</f>
      </c>
      <c r="M48">
        <f>IF($A48="","",IF(Hafta_Ozet!$B11="","",IF(AND(INDEX(Event_Girdi!$C:$C,MATCH($A48,Event_Girdi!$A:$A,0))&lt;=Hafta_Ozet!$C11,INDEX(Event_Girdi!$D:$D,MATCH($A48,Event_Girdi!$A:$A,0))&gt;=Hafta_Ozet!$B11),"ACTIVE","")))</f>
      </c>
      <c r="N48">
        <f>IF($A48="","",IF(Hafta_Ozet!$B12="","",IF(AND(INDEX(Event_Girdi!$C:$C,MATCH($A48,Event_Girdi!$A:$A,0))&lt;=Hafta_Ozet!$C12,INDEX(Event_Girdi!$D:$D,MATCH($A48,Event_Girdi!$A:$A,0))&gt;=Hafta_Ozet!$B12),"ACTIVE","")))</f>
      </c>
      <c r="O48">
        <f>IF($A48="","",IF(Hafta_Ozet!$B13="","",IF(AND(INDEX(Event_Girdi!$C:$C,MATCH($A48,Event_Girdi!$A:$A,0))&lt;=Hafta_Ozet!$C13,INDEX(Event_Girdi!$D:$D,MATCH($A48,Event_Girdi!$A:$A,0))&gt;=Hafta_Ozet!$B13),"ACTIVE","")))</f>
      </c>
      <c r="P48">
        <f>IF($A48="","",IF(Hafta_Ozet!$B14="","",IF(AND(INDEX(Event_Girdi!$C:$C,MATCH($A48,Event_Girdi!$A:$A,0))&lt;=Hafta_Ozet!$C14,INDEX(Event_Girdi!$D:$D,MATCH($A48,Event_Girdi!$A:$A,0))&gt;=Hafta_Ozet!$B14),"ACTIVE","")))</f>
      </c>
      <c r="Q48">
        <f>IF($A48="","",IF(Hafta_Ozet!$B15="","",IF(AND(INDEX(Event_Girdi!$C:$C,MATCH($A48,Event_Girdi!$A:$A,0))&lt;=Hafta_Ozet!$C15,INDEX(Event_Girdi!$D:$D,MATCH($A48,Event_Girdi!$A:$A,0))&gt;=Hafta_Ozet!$B15),"ACTIVE","")))</f>
      </c>
      <c r="R48">
        <f>IF($A48="","",IF(Hafta_Ozet!$B16="","",IF(AND(INDEX(Event_Girdi!$C:$C,MATCH($A48,Event_Girdi!$A:$A,0))&lt;=Hafta_Ozet!$C16,INDEX(Event_Girdi!$D:$D,MATCH($A48,Event_Girdi!$A:$A,0))&gt;=Hafta_Ozet!$B16),"ACTIVE","")))</f>
      </c>
      <c r="S48">
        <f>IF($A48="","",IF(Hafta_Ozet!$B17="","",IF(AND(INDEX(Event_Girdi!$C:$C,MATCH($A48,Event_Girdi!$A:$A,0))&lt;=Hafta_Ozet!$C17,INDEX(Event_Girdi!$D:$D,MATCH($A48,Event_Girdi!$A:$A,0))&gt;=Hafta_Ozet!$B17),"ACTIVE","")))</f>
      </c>
      <c r="T48">
        <f>IF($A48="","",IF(Hafta_Ozet!$B18="","",IF(AND(INDEX(Event_Girdi!$C:$C,MATCH($A48,Event_Girdi!$A:$A,0))&lt;=Hafta_Ozet!$C18,INDEX(Event_Girdi!$D:$D,MATCH($A48,Event_Girdi!$A:$A,0))&gt;=Hafta_Ozet!$B18),"ACTIVE","")))</f>
      </c>
      <c r="U48">
        <f>IF($A48="","",IF(Hafta_Ozet!$B19="","",IF(AND(INDEX(Event_Girdi!$C:$C,MATCH($A48,Event_Girdi!$A:$A,0))&lt;=Hafta_Ozet!$C19,INDEX(Event_Girdi!$D:$D,MATCH($A48,Event_Girdi!$A:$A,0))&gt;=Hafta_Ozet!$B19),"ACTIVE","")))</f>
      </c>
      <c r="V48">
        <f>IF($A48="","",IF(Hafta_Ozet!$B20="","",IF(AND(INDEX(Event_Girdi!$C:$C,MATCH($A48,Event_Girdi!$A:$A,0))&lt;=Hafta_Ozet!$C20,INDEX(Event_Girdi!$D:$D,MATCH($A48,Event_Girdi!$A:$A,0))&gt;=Hafta_Ozet!$B20),"ACTIVE","")))</f>
      </c>
      <c r="W48">
        <f>IF($A48="","",IF(Hafta_Ozet!$B21="","",IF(AND(INDEX(Event_Girdi!$C:$C,MATCH($A48,Event_Girdi!$A:$A,0))&lt;=Hafta_Ozet!$C21,INDEX(Event_Girdi!$D:$D,MATCH($A48,Event_Girdi!$A:$A,0))&gt;=Hafta_Ozet!$B21),"ACTIVE","")))</f>
      </c>
    </row>
    <row r="49">
      <c r="A49">
        <f>IFERROR(INDEX(FILTER(Event_Girdi!$A$2:$A,Event_Girdi!$G$2:$G="Evet"),18),"")</f>
      </c>
      <c r="B49">
        <f>IF($A49="","",INDEX(Event_Girdi!$B:$B,MATCH($A49,Event_Girdi!$A:$A,0)))</f>
      </c>
      <c r="C49">
        <f>IF($A49="","",INDEX(Event_Girdi!$E:$E,MATCH($A49,Event_Girdi!$A:$A,0)))</f>
      </c>
      <c r="D49">
        <f>IF($A49="","",IF(Hafta_Ozet!$B2="","",IF(AND(INDEX(Event_Girdi!$C:$C,MATCH($A49,Event_Girdi!$A:$A,0))&lt;=Hafta_Ozet!$C2,INDEX(Event_Girdi!$D:$D,MATCH($A49,Event_Girdi!$A:$A,0))&gt;=Hafta_Ozet!$B2),"ACTIVE","")))</f>
      </c>
      <c r="E49">
        <f>IF($A49="","",IF(Hafta_Ozet!$B3="","",IF(AND(INDEX(Event_Girdi!$C:$C,MATCH($A49,Event_Girdi!$A:$A,0))&lt;=Hafta_Ozet!$C3,INDEX(Event_Girdi!$D:$D,MATCH($A49,Event_Girdi!$A:$A,0))&gt;=Hafta_Ozet!$B3),"ACTIVE","")))</f>
      </c>
      <c r="F49">
        <f>IF($A49="","",IF(Hafta_Ozet!$B4="","",IF(AND(INDEX(Event_Girdi!$C:$C,MATCH($A49,Event_Girdi!$A:$A,0))&lt;=Hafta_Ozet!$C4,INDEX(Event_Girdi!$D:$D,MATCH($A49,Event_Girdi!$A:$A,0))&gt;=Hafta_Ozet!$B4),"ACTIVE","")))</f>
      </c>
      <c r="G49">
        <f>IF($A49="","",IF(Hafta_Ozet!$B5="","",IF(AND(INDEX(Event_Girdi!$C:$C,MATCH($A49,Event_Girdi!$A:$A,0))&lt;=Hafta_Ozet!$C5,INDEX(Event_Girdi!$D:$D,MATCH($A49,Event_Girdi!$A:$A,0))&gt;=Hafta_Ozet!$B5),"ACTIVE","")))</f>
      </c>
      <c r="H49">
        <f>IF($A49="","",IF(Hafta_Ozet!$B6="","",IF(AND(INDEX(Event_Girdi!$C:$C,MATCH($A49,Event_Girdi!$A:$A,0))&lt;=Hafta_Ozet!$C6,INDEX(Event_Girdi!$D:$D,MATCH($A49,Event_Girdi!$A:$A,0))&gt;=Hafta_Ozet!$B6),"ACTIVE","")))</f>
      </c>
      <c r="I49">
        <f>IF($A49="","",IF(Hafta_Ozet!$B7="","",IF(AND(INDEX(Event_Girdi!$C:$C,MATCH($A49,Event_Girdi!$A:$A,0))&lt;=Hafta_Ozet!$C7,INDEX(Event_Girdi!$D:$D,MATCH($A49,Event_Girdi!$A:$A,0))&gt;=Hafta_Ozet!$B7),"ACTIVE","")))</f>
      </c>
      <c r="J49">
        <f>IF($A49="","",IF(Hafta_Ozet!$B8="","",IF(AND(INDEX(Event_Girdi!$C:$C,MATCH($A49,Event_Girdi!$A:$A,0))&lt;=Hafta_Ozet!$C8,INDEX(Event_Girdi!$D:$D,MATCH($A49,Event_Girdi!$A:$A,0))&gt;=Hafta_Ozet!$B8),"ACTIVE","")))</f>
      </c>
      <c r="K49">
        <f>IF($A49="","",IF(Hafta_Ozet!$B9="","",IF(AND(INDEX(Event_Girdi!$C:$C,MATCH($A49,Event_Girdi!$A:$A,0))&lt;=Hafta_Ozet!$C9,INDEX(Event_Girdi!$D:$D,MATCH($A49,Event_Girdi!$A:$A,0))&gt;=Hafta_Ozet!$B9),"ACTIVE","")))</f>
      </c>
      <c r="L49">
        <f>IF($A49="","",IF(Hafta_Ozet!$B10="","",IF(AND(INDEX(Event_Girdi!$C:$C,MATCH($A49,Event_Girdi!$A:$A,0))&lt;=Hafta_Ozet!$C10,INDEX(Event_Girdi!$D:$D,MATCH($A49,Event_Girdi!$A:$A,0))&gt;=Hafta_Ozet!$B10),"ACTIVE","")))</f>
      </c>
      <c r="M49">
        <f>IF($A49="","",IF(Hafta_Ozet!$B11="","",IF(AND(INDEX(Event_Girdi!$C:$C,MATCH($A49,Event_Girdi!$A:$A,0))&lt;=Hafta_Ozet!$C11,INDEX(Event_Girdi!$D:$D,MATCH($A49,Event_Girdi!$A:$A,0))&gt;=Hafta_Ozet!$B11),"ACTIVE","")))</f>
      </c>
      <c r="N49">
        <f>IF($A49="","",IF(Hafta_Ozet!$B12="","",IF(AND(INDEX(Event_Girdi!$C:$C,MATCH($A49,Event_Girdi!$A:$A,0))&lt;=Hafta_Ozet!$C12,INDEX(Event_Girdi!$D:$D,MATCH($A49,Event_Girdi!$A:$A,0))&gt;=Hafta_Ozet!$B12),"ACTIVE","")))</f>
      </c>
      <c r="O49">
        <f>IF($A49="","",IF(Hafta_Ozet!$B13="","",IF(AND(INDEX(Event_Girdi!$C:$C,MATCH($A49,Event_Girdi!$A:$A,0))&lt;=Hafta_Ozet!$C13,INDEX(Event_Girdi!$D:$D,MATCH($A49,Event_Girdi!$A:$A,0))&gt;=Hafta_Ozet!$B13),"ACTIVE","")))</f>
      </c>
      <c r="P49">
        <f>IF($A49="","",IF(Hafta_Ozet!$B14="","",IF(AND(INDEX(Event_Girdi!$C:$C,MATCH($A49,Event_Girdi!$A:$A,0))&lt;=Hafta_Ozet!$C14,INDEX(Event_Girdi!$D:$D,MATCH($A49,Event_Girdi!$A:$A,0))&gt;=Hafta_Ozet!$B14),"ACTIVE","")))</f>
      </c>
      <c r="Q49">
        <f>IF($A49="","",IF(Hafta_Ozet!$B15="","",IF(AND(INDEX(Event_Girdi!$C:$C,MATCH($A49,Event_Girdi!$A:$A,0))&lt;=Hafta_Ozet!$C15,INDEX(Event_Girdi!$D:$D,MATCH($A49,Event_Girdi!$A:$A,0))&gt;=Hafta_Ozet!$B15),"ACTIVE","")))</f>
      </c>
      <c r="R49">
        <f>IF($A49="","",IF(Hafta_Ozet!$B16="","",IF(AND(INDEX(Event_Girdi!$C:$C,MATCH($A49,Event_Girdi!$A:$A,0))&lt;=Hafta_Ozet!$C16,INDEX(Event_Girdi!$D:$D,MATCH($A49,Event_Girdi!$A:$A,0))&gt;=Hafta_Ozet!$B16),"ACTIVE","")))</f>
      </c>
      <c r="S49">
        <f>IF($A49="","",IF(Hafta_Ozet!$B17="","",IF(AND(INDEX(Event_Girdi!$C:$C,MATCH($A49,Event_Girdi!$A:$A,0))&lt;=Hafta_Ozet!$C17,INDEX(Event_Girdi!$D:$D,MATCH($A49,Event_Girdi!$A:$A,0))&gt;=Hafta_Ozet!$B17),"ACTIVE","")))</f>
      </c>
      <c r="T49">
        <f>IF($A49="","",IF(Hafta_Ozet!$B18="","",IF(AND(INDEX(Event_Girdi!$C:$C,MATCH($A49,Event_Girdi!$A:$A,0))&lt;=Hafta_Ozet!$C18,INDEX(Event_Girdi!$D:$D,MATCH($A49,Event_Girdi!$A:$A,0))&gt;=Hafta_Ozet!$B18),"ACTIVE","")))</f>
      </c>
      <c r="U49">
        <f>IF($A49="","",IF(Hafta_Ozet!$B19="","",IF(AND(INDEX(Event_Girdi!$C:$C,MATCH($A49,Event_Girdi!$A:$A,0))&lt;=Hafta_Ozet!$C19,INDEX(Event_Girdi!$D:$D,MATCH($A49,Event_Girdi!$A:$A,0))&gt;=Hafta_Ozet!$B19),"ACTIVE","")))</f>
      </c>
      <c r="V49">
        <f>IF($A49="","",IF(Hafta_Ozet!$B20="","",IF(AND(INDEX(Event_Girdi!$C:$C,MATCH($A49,Event_Girdi!$A:$A,0))&lt;=Hafta_Ozet!$C20,INDEX(Event_Girdi!$D:$D,MATCH($A49,Event_Girdi!$A:$A,0))&gt;=Hafta_Ozet!$B20),"ACTIVE","")))</f>
      </c>
      <c r="W49">
        <f>IF($A49="","",IF(Hafta_Ozet!$B21="","",IF(AND(INDEX(Event_Girdi!$C:$C,MATCH($A49,Event_Girdi!$A:$A,0))&lt;=Hafta_Ozet!$C21,INDEX(Event_Girdi!$D:$D,MATCH($A49,Event_Girdi!$A:$A,0))&gt;=Hafta_Ozet!$B21),"ACTIVE","")))</f>
      </c>
    </row>
    <row r="50">
      <c r="A50">
        <f>IFERROR(INDEX(FILTER(Event_Girdi!$A$2:$A,Event_Girdi!$G$2:$G="Evet"),19),"")</f>
      </c>
      <c r="B50">
        <f>IF($A50="","",INDEX(Event_Girdi!$B:$B,MATCH($A50,Event_Girdi!$A:$A,0)))</f>
      </c>
      <c r="C50">
        <f>IF($A50="","",INDEX(Event_Girdi!$E:$E,MATCH($A50,Event_Girdi!$A:$A,0)))</f>
      </c>
      <c r="D50">
        <f>IF($A50="","",IF(Hafta_Ozet!$B2="","",IF(AND(INDEX(Event_Girdi!$C:$C,MATCH($A50,Event_Girdi!$A:$A,0))&lt;=Hafta_Ozet!$C2,INDEX(Event_Girdi!$D:$D,MATCH($A50,Event_Girdi!$A:$A,0))&gt;=Hafta_Ozet!$B2),"ACTIVE","")))</f>
      </c>
      <c r="E50">
        <f>IF($A50="","",IF(Hafta_Ozet!$B3="","",IF(AND(INDEX(Event_Girdi!$C:$C,MATCH($A50,Event_Girdi!$A:$A,0))&lt;=Hafta_Ozet!$C3,INDEX(Event_Girdi!$D:$D,MATCH($A50,Event_Girdi!$A:$A,0))&gt;=Hafta_Ozet!$B3),"ACTIVE","")))</f>
      </c>
      <c r="F50">
        <f>IF($A50="","",IF(Hafta_Ozet!$B4="","",IF(AND(INDEX(Event_Girdi!$C:$C,MATCH($A50,Event_Girdi!$A:$A,0))&lt;=Hafta_Ozet!$C4,INDEX(Event_Girdi!$D:$D,MATCH($A50,Event_Girdi!$A:$A,0))&gt;=Hafta_Ozet!$B4),"ACTIVE","")))</f>
      </c>
      <c r="G50">
        <f>IF($A50="","",IF(Hafta_Ozet!$B5="","",IF(AND(INDEX(Event_Girdi!$C:$C,MATCH($A50,Event_Girdi!$A:$A,0))&lt;=Hafta_Ozet!$C5,INDEX(Event_Girdi!$D:$D,MATCH($A50,Event_Girdi!$A:$A,0))&gt;=Hafta_Ozet!$B5),"ACTIVE","")))</f>
      </c>
      <c r="H50">
        <f>IF($A50="","",IF(Hafta_Ozet!$B6="","",IF(AND(INDEX(Event_Girdi!$C:$C,MATCH($A50,Event_Girdi!$A:$A,0))&lt;=Hafta_Ozet!$C6,INDEX(Event_Girdi!$D:$D,MATCH($A50,Event_Girdi!$A:$A,0))&gt;=Hafta_Ozet!$B6),"ACTIVE","")))</f>
      </c>
      <c r="I50">
        <f>IF($A50="","",IF(Hafta_Ozet!$B7="","",IF(AND(INDEX(Event_Girdi!$C:$C,MATCH($A50,Event_Girdi!$A:$A,0))&lt;=Hafta_Ozet!$C7,INDEX(Event_Girdi!$D:$D,MATCH($A50,Event_Girdi!$A:$A,0))&gt;=Hafta_Ozet!$B7),"ACTIVE","")))</f>
      </c>
      <c r="J50">
        <f>IF($A50="","",IF(Hafta_Ozet!$B8="","",IF(AND(INDEX(Event_Girdi!$C:$C,MATCH($A50,Event_Girdi!$A:$A,0))&lt;=Hafta_Ozet!$C8,INDEX(Event_Girdi!$D:$D,MATCH($A50,Event_Girdi!$A:$A,0))&gt;=Hafta_Ozet!$B8),"ACTIVE","")))</f>
      </c>
      <c r="K50">
        <f>IF($A50="","",IF(Hafta_Ozet!$B9="","",IF(AND(INDEX(Event_Girdi!$C:$C,MATCH($A50,Event_Girdi!$A:$A,0))&lt;=Hafta_Ozet!$C9,INDEX(Event_Girdi!$D:$D,MATCH($A50,Event_Girdi!$A:$A,0))&gt;=Hafta_Ozet!$B9),"ACTIVE","")))</f>
      </c>
      <c r="L50">
        <f>IF($A50="","",IF(Hafta_Ozet!$B10="","",IF(AND(INDEX(Event_Girdi!$C:$C,MATCH($A50,Event_Girdi!$A:$A,0))&lt;=Hafta_Ozet!$C10,INDEX(Event_Girdi!$D:$D,MATCH($A50,Event_Girdi!$A:$A,0))&gt;=Hafta_Ozet!$B10),"ACTIVE","")))</f>
      </c>
      <c r="M50">
        <f>IF($A50="","",IF(Hafta_Ozet!$B11="","",IF(AND(INDEX(Event_Girdi!$C:$C,MATCH($A50,Event_Girdi!$A:$A,0))&lt;=Hafta_Ozet!$C11,INDEX(Event_Girdi!$D:$D,MATCH($A50,Event_Girdi!$A:$A,0))&gt;=Hafta_Ozet!$B11),"ACTIVE","")))</f>
      </c>
      <c r="N50">
        <f>IF($A50="","",IF(Hafta_Ozet!$B12="","",IF(AND(INDEX(Event_Girdi!$C:$C,MATCH($A50,Event_Girdi!$A:$A,0))&lt;=Hafta_Ozet!$C12,INDEX(Event_Girdi!$D:$D,MATCH($A50,Event_Girdi!$A:$A,0))&gt;=Hafta_Ozet!$B12),"ACTIVE","")))</f>
      </c>
      <c r="O50">
        <f>IF($A50="","",IF(Hafta_Ozet!$B13="","",IF(AND(INDEX(Event_Girdi!$C:$C,MATCH($A50,Event_Girdi!$A:$A,0))&lt;=Hafta_Ozet!$C13,INDEX(Event_Girdi!$D:$D,MATCH($A50,Event_Girdi!$A:$A,0))&gt;=Hafta_Ozet!$B13),"ACTIVE","")))</f>
      </c>
      <c r="P50">
        <f>IF($A50="","",IF(Hafta_Ozet!$B14="","",IF(AND(INDEX(Event_Girdi!$C:$C,MATCH($A50,Event_Girdi!$A:$A,0))&lt;=Hafta_Ozet!$C14,INDEX(Event_Girdi!$D:$D,MATCH($A50,Event_Girdi!$A:$A,0))&gt;=Hafta_Ozet!$B14),"ACTIVE","")))</f>
      </c>
      <c r="Q50">
        <f>IF($A50="","",IF(Hafta_Ozet!$B15="","",IF(AND(INDEX(Event_Girdi!$C:$C,MATCH($A50,Event_Girdi!$A:$A,0))&lt;=Hafta_Ozet!$C15,INDEX(Event_Girdi!$D:$D,MATCH($A50,Event_Girdi!$A:$A,0))&gt;=Hafta_Ozet!$B15),"ACTIVE","")))</f>
      </c>
      <c r="R50">
        <f>IF($A50="","",IF(Hafta_Ozet!$B16="","",IF(AND(INDEX(Event_Girdi!$C:$C,MATCH($A50,Event_Girdi!$A:$A,0))&lt;=Hafta_Ozet!$C16,INDEX(Event_Girdi!$D:$D,MATCH($A50,Event_Girdi!$A:$A,0))&gt;=Hafta_Ozet!$B16),"ACTIVE","")))</f>
      </c>
      <c r="S50">
        <f>IF($A50="","",IF(Hafta_Ozet!$B17="","",IF(AND(INDEX(Event_Girdi!$C:$C,MATCH($A50,Event_Girdi!$A:$A,0))&lt;=Hafta_Ozet!$C17,INDEX(Event_Girdi!$D:$D,MATCH($A50,Event_Girdi!$A:$A,0))&gt;=Hafta_Ozet!$B17),"ACTIVE","")))</f>
      </c>
      <c r="T50">
        <f>IF($A50="","",IF(Hafta_Ozet!$B18="","",IF(AND(INDEX(Event_Girdi!$C:$C,MATCH($A50,Event_Girdi!$A:$A,0))&lt;=Hafta_Ozet!$C18,INDEX(Event_Girdi!$D:$D,MATCH($A50,Event_Girdi!$A:$A,0))&gt;=Hafta_Ozet!$B18),"ACTIVE","")))</f>
      </c>
      <c r="U50">
        <f>IF($A50="","",IF(Hafta_Ozet!$B19="","",IF(AND(INDEX(Event_Girdi!$C:$C,MATCH($A50,Event_Girdi!$A:$A,0))&lt;=Hafta_Ozet!$C19,INDEX(Event_Girdi!$D:$D,MATCH($A50,Event_Girdi!$A:$A,0))&gt;=Hafta_Ozet!$B19),"ACTIVE","")))</f>
      </c>
      <c r="V50">
        <f>IF($A50="","",IF(Hafta_Ozet!$B20="","",IF(AND(INDEX(Event_Girdi!$C:$C,MATCH($A50,Event_Girdi!$A:$A,0))&lt;=Hafta_Ozet!$C20,INDEX(Event_Girdi!$D:$D,MATCH($A50,Event_Girdi!$A:$A,0))&gt;=Hafta_Ozet!$B20),"ACTIVE","")))</f>
      </c>
      <c r="W50">
        <f>IF($A50="","",IF(Hafta_Ozet!$B21="","",IF(AND(INDEX(Event_Girdi!$C:$C,MATCH($A50,Event_Girdi!$A:$A,0))&lt;=Hafta_Ozet!$C21,INDEX(Event_Girdi!$D:$D,MATCH($A50,Event_Girdi!$A:$A,0))&gt;=Hafta_Ozet!$B21),"ACTIVE","")))</f>
      </c>
    </row>
    <row r="51">
      <c r="A51">
        <f>IFERROR(INDEX(FILTER(Event_Girdi!$A$2:$A,Event_Girdi!$G$2:$G="Evet"),20),"")</f>
      </c>
      <c r="B51">
        <f>IF($A51="","",INDEX(Event_Girdi!$B:$B,MATCH($A51,Event_Girdi!$A:$A,0)))</f>
      </c>
      <c r="C51">
        <f>IF($A51="","",INDEX(Event_Girdi!$E:$E,MATCH($A51,Event_Girdi!$A:$A,0)))</f>
      </c>
      <c r="D51">
        <f>IF($A51="","",IF(Hafta_Ozet!$B2="","",IF(AND(INDEX(Event_Girdi!$C:$C,MATCH($A51,Event_Girdi!$A:$A,0))&lt;=Hafta_Ozet!$C2,INDEX(Event_Girdi!$D:$D,MATCH($A51,Event_Girdi!$A:$A,0))&gt;=Hafta_Ozet!$B2),"ACTIVE","")))</f>
      </c>
      <c r="E51">
        <f>IF($A51="","",IF(Hafta_Ozet!$B3="","",IF(AND(INDEX(Event_Girdi!$C:$C,MATCH($A51,Event_Girdi!$A:$A,0))&lt;=Hafta_Ozet!$C3,INDEX(Event_Girdi!$D:$D,MATCH($A51,Event_Girdi!$A:$A,0))&gt;=Hafta_Ozet!$B3),"ACTIVE","")))</f>
      </c>
      <c r="F51">
        <f>IF($A51="","",IF(Hafta_Ozet!$B4="","",IF(AND(INDEX(Event_Girdi!$C:$C,MATCH($A51,Event_Girdi!$A:$A,0))&lt;=Hafta_Ozet!$C4,INDEX(Event_Girdi!$D:$D,MATCH($A51,Event_Girdi!$A:$A,0))&gt;=Hafta_Ozet!$B4),"ACTIVE","")))</f>
      </c>
      <c r="G51">
        <f>IF($A51="","",IF(Hafta_Ozet!$B5="","",IF(AND(INDEX(Event_Girdi!$C:$C,MATCH($A51,Event_Girdi!$A:$A,0))&lt;=Hafta_Ozet!$C5,INDEX(Event_Girdi!$D:$D,MATCH($A51,Event_Girdi!$A:$A,0))&gt;=Hafta_Ozet!$B5),"ACTIVE","")))</f>
      </c>
      <c r="H51">
        <f>IF($A51="","",IF(Hafta_Ozet!$B6="","",IF(AND(INDEX(Event_Girdi!$C:$C,MATCH($A51,Event_Girdi!$A:$A,0))&lt;=Hafta_Ozet!$C6,INDEX(Event_Girdi!$D:$D,MATCH($A51,Event_Girdi!$A:$A,0))&gt;=Hafta_Ozet!$B6),"ACTIVE","")))</f>
      </c>
      <c r="I51">
        <f>IF($A51="","",IF(Hafta_Ozet!$B7="","",IF(AND(INDEX(Event_Girdi!$C:$C,MATCH($A51,Event_Girdi!$A:$A,0))&lt;=Hafta_Ozet!$C7,INDEX(Event_Girdi!$D:$D,MATCH($A51,Event_Girdi!$A:$A,0))&gt;=Hafta_Ozet!$B7),"ACTIVE","")))</f>
      </c>
      <c r="J51">
        <f>IF($A51="","",IF(Hafta_Ozet!$B8="","",IF(AND(INDEX(Event_Girdi!$C:$C,MATCH($A51,Event_Girdi!$A:$A,0))&lt;=Hafta_Ozet!$C8,INDEX(Event_Girdi!$D:$D,MATCH($A51,Event_Girdi!$A:$A,0))&gt;=Hafta_Ozet!$B8),"ACTIVE","")))</f>
      </c>
      <c r="K51">
        <f>IF($A51="","",IF(Hafta_Ozet!$B9="","",IF(AND(INDEX(Event_Girdi!$C:$C,MATCH($A51,Event_Girdi!$A:$A,0))&lt;=Hafta_Ozet!$C9,INDEX(Event_Girdi!$D:$D,MATCH($A51,Event_Girdi!$A:$A,0))&gt;=Hafta_Ozet!$B9),"ACTIVE","")))</f>
      </c>
      <c r="L51">
        <f>IF($A51="","",IF(Hafta_Ozet!$B10="","",IF(AND(INDEX(Event_Girdi!$C:$C,MATCH($A51,Event_Girdi!$A:$A,0))&lt;=Hafta_Ozet!$C10,INDEX(Event_Girdi!$D:$D,MATCH($A51,Event_Girdi!$A:$A,0))&gt;=Hafta_Ozet!$B10),"ACTIVE","")))</f>
      </c>
      <c r="M51">
        <f>IF($A51="","",IF(Hafta_Ozet!$B11="","",IF(AND(INDEX(Event_Girdi!$C:$C,MATCH($A51,Event_Girdi!$A:$A,0))&lt;=Hafta_Ozet!$C11,INDEX(Event_Girdi!$D:$D,MATCH($A51,Event_Girdi!$A:$A,0))&gt;=Hafta_Ozet!$B11),"ACTIVE","")))</f>
      </c>
      <c r="N51">
        <f>IF($A51="","",IF(Hafta_Ozet!$B12="","",IF(AND(INDEX(Event_Girdi!$C:$C,MATCH($A51,Event_Girdi!$A:$A,0))&lt;=Hafta_Ozet!$C12,INDEX(Event_Girdi!$D:$D,MATCH($A51,Event_Girdi!$A:$A,0))&gt;=Hafta_Ozet!$B12),"ACTIVE","")))</f>
      </c>
      <c r="O51">
        <f>IF($A51="","",IF(Hafta_Ozet!$B13="","",IF(AND(INDEX(Event_Girdi!$C:$C,MATCH($A51,Event_Girdi!$A:$A,0))&lt;=Hafta_Ozet!$C13,INDEX(Event_Girdi!$D:$D,MATCH($A51,Event_Girdi!$A:$A,0))&gt;=Hafta_Ozet!$B13),"ACTIVE","")))</f>
      </c>
      <c r="P51">
        <f>IF($A51="","",IF(Hafta_Ozet!$B14="","",IF(AND(INDEX(Event_Girdi!$C:$C,MATCH($A51,Event_Girdi!$A:$A,0))&lt;=Hafta_Ozet!$C14,INDEX(Event_Girdi!$D:$D,MATCH($A51,Event_Girdi!$A:$A,0))&gt;=Hafta_Ozet!$B14),"ACTIVE","")))</f>
      </c>
      <c r="Q51">
        <f>IF($A51="","",IF(Hafta_Ozet!$B15="","",IF(AND(INDEX(Event_Girdi!$C:$C,MATCH($A51,Event_Girdi!$A:$A,0))&lt;=Hafta_Ozet!$C15,INDEX(Event_Girdi!$D:$D,MATCH($A51,Event_Girdi!$A:$A,0))&gt;=Hafta_Ozet!$B15),"ACTIVE","")))</f>
      </c>
      <c r="R51">
        <f>IF($A51="","",IF(Hafta_Ozet!$B16="","",IF(AND(INDEX(Event_Girdi!$C:$C,MATCH($A51,Event_Girdi!$A:$A,0))&lt;=Hafta_Ozet!$C16,INDEX(Event_Girdi!$D:$D,MATCH($A51,Event_Girdi!$A:$A,0))&gt;=Hafta_Ozet!$B16),"ACTIVE","")))</f>
      </c>
      <c r="S51">
        <f>IF($A51="","",IF(Hafta_Ozet!$B17="","",IF(AND(INDEX(Event_Girdi!$C:$C,MATCH($A51,Event_Girdi!$A:$A,0))&lt;=Hafta_Ozet!$C17,INDEX(Event_Girdi!$D:$D,MATCH($A51,Event_Girdi!$A:$A,0))&gt;=Hafta_Ozet!$B17),"ACTIVE","")))</f>
      </c>
      <c r="T51">
        <f>IF($A51="","",IF(Hafta_Ozet!$B18="","",IF(AND(INDEX(Event_Girdi!$C:$C,MATCH($A51,Event_Girdi!$A:$A,0))&lt;=Hafta_Ozet!$C18,INDEX(Event_Girdi!$D:$D,MATCH($A51,Event_Girdi!$A:$A,0))&gt;=Hafta_Ozet!$B18),"ACTIVE","")))</f>
      </c>
      <c r="U51">
        <f>IF($A51="","",IF(Hafta_Ozet!$B19="","",IF(AND(INDEX(Event_Girdi!$C:$C,MATCH($A51,Event_Girdi!$A:$A,0))&lt;=Hafta_Ozet!$C19,INDEX(Event_Girdi!$D:$D,MATCH($A51,Event_Girdi!$A:$A,0))&gt;=Hafta_Ozet!$B19),"ACTIVE","")))</f>
      </c>
      <c r="V51">
        <f>IF($A51="","",IF(Hafta_Ozet!$B20="","",IF(AND(INDEX(Event_Girdi!$C:$C,MATCH($A51,Event_Girdi!$A:$A,0))&lt;=Hafta_Ozet!$C20,INDEX(Event_Girdi!$D:$D,MATCH($A51,Event_Girdi!$A:$A,0))&gt;=Hafta_Ozet!$B20),"ACTIVE","")))</f>
      </c>
      <c r="W51">
        <f>IF($A51="","",IF(Hafta_Ozet!$B21="","",IF(AND(INDEX(Event_Girdi!$C:$C,MATCH($A51,Event_Girdi!$A:$A,0))&lt;=Hafta_Ozet!$C21,INDEX(Event_Girdi!$D:$D,MATCH($A51,Event_Girdi!$A:$A,0))&gt;=Hafta_Ozet!$B21),"ACTIVE","")))</f>
      </c>
    </row>
    <row r="53">
      <c r="A53" t="inlineStr">
        <is>
          <t>Winner Organik</t>
        </is>
      </c>
      <c r="D53">
        <f>IF(Hafta_Ozet!A2="","",Hafta_Ozet!G2)</f>
      </c>
      <c r="E53">
        <f>IF(Hafta_Ozet!A3="","",Hafta_Ozet!G3)</f>
      </c>
      <c r="F53">
        <f>IF(Hafta_Ozet!A4="","",Hafta_Ozet!G4)</f>
      </c>
      <c r="G53">
        <f>IF(Hafta_Ozet!A5="","",Hafta_Ozet!G5)</f>
      </c>
      <c r="H53">
        <f>IF(Hafta_Ozet!A6="","",Hafta_Ozet!G6)</f>
      </c>
      <c r="I53">
        <f>IF(Hafta_Ozet!A7="","",Hafta_Ozet!G7)</f>
      </c>
      <c r="J53">
        <f>IF(Hafta_Ozet!A8="","",Hafta_Ozet!G8)</f>
      </c>
      <c r="K53">
        <f>IF(Hafta_Ozet!A9="","",Hafta_Ozet!G9)</f>
      </c>
      <c r="L53">
        <f>IF(Hafta_Ozet!A10="","",Hafta_Ozet!G10)</f>
      </c>
      <c r="M53">
        <f>IF(Hafta_Ozet!A11="","",Hafta_Ozet!G11)</f>
      </c>
      <c r="N53">
        <f>IF(Hafta_Ozet!A12="","",Hafta_Ozet!G12)</f>
      </c>
      <c r="O53">
        <f>IF(Hafta_Ozet!A13="","",Hafta_Ozet!G13)</f>
      </c>
      <c r="P53">
        <f>IF(Hafta_Ozet!A14="","",Hafta_Ozet!G14)</f>
      </c>
      <c r="Q53">
        <f>IF(Hafta_Ozet!A15="","",Hafta_Ozet!G15)</f>
      </c>
      <c r="R53">
        <f>IF(Hafta_Ozet!A16="","",Hafta_Ozet!G16)</f>
      </c>
      <c r="S53">
        <f>IF(Hafta_Ozet!A17="","",Hafta_Ozet!G17)</f>
      </c>
      <c r="T53">
        <f>IF(Hafta_Ozet!A18="","",Hafta_Ozet!G18)</f>
      </c>
      <c r="U53">
        <f>IF(Hafta_Ozet!A19="","",Hafta_Ozet!G19)</f>
      </c>
      <c r="V53">
        <f>IF(Hafta_Ozet!A20="","",Hafta_Ozet!G20)</f>
      </c>
      <c r="W53">
        <f>IF(Hafta_Ozet!A21="","",Hafta_Ozet!G21)</f>
      </c>
    </row>
    <row r="54">
      <c r="A54" t="inlineStr">
        <is>
          <t>Winner Deeplink</t>
        </is>
      </c>
      <c r="D54">
        <f>IF(Hafta_Ozet!A2="","",Hafta_Ozet!H2)</f>
      </c>
      <c r="E54">
        <f>IF(Hafta_Ozet!A3="","",Hafta_Ozet!H3)</f>
      </c>
      <c r="F54">
        <f>IF(Hafta_Ozet!A4="","",Hafta_Ozet!H4)</f>
      </c>
      <c r="G54">
        <f>IF(Hafta_Ozet!A5="","",Hafta_Ozet!H5)</f>
      </c>
      <c r="H54">
        <f>IF(Hafta_Ozet!A6="","",Hafta_Ozet!H6)</f>
      </c>
      <c r="I54">
        <f>IF(Hafta_Ozet!A7="","",Hafta_Ozet!H7)</f>
      </c>
      <c r="J54">
        <f>IF(Hafta_Ozet!A8="","",Hafta_Ozet!H8)</f>
      </c>
      <c r="K54">
        <f>IF(Hafta_Ozet!A9="","",Hafta_Ozet!H9)</f>
      </c>
      <c r="L54">
        <f>IF(Hafta_Ozet!A10="","",Hafta_Ozet!H10)</f>
      </c>
      <c r="M54">
        <f>IF(Hafta_Ozet!A11="","",Hafta_Ozet!H11)</f>
      </c>
      <c r="N54">
        <f>IF(Hafta_Ozet!A12="","",Hafta_Ozet!H12)</f>
      </c>
      <c r="O54">
        <f>IF(Hafta_Ozet!A13="","",Hafta_Ozet!H13)</f>
      </c>
      <c r="P54">
        <f>IF(Hafta_Ozet!A14="","",Hafta_Ozet!H14)</f>
      </c>
      <c r="Q54">
        <f>IF(Hafta_Ozet!A15="","",Hafta_Ozet!H15)</f>
      </c>
      <c r="R54">
        <f>IF(Hafta_Ozet!A16="","",Hafta_Ozet!H16)</f>
      </c>
      <c r="S54">
        <f>IF(Hafta_Ozet!A17="","",Hafta_Ozet!H17)</f>
      </c>
      <c r="T54">
        <f>IF(Hafta_Ozet!A18="","",Hafta_Ozet!H18)</f>
      </c>
      <c r="U54">
        <f>IF(Hafta_Ozet!A19="","",Hafta_Ozet!H19)</f>
      </c>
      <c r="V54">
        <f>IF(Hafta_Ozet!A20="","",Hafta_Ozet!H20)</f>
      </c>
      <c r="W54">
        <f>IF(Hafta_Ozet!A21="","",Hafta_Ozet!H21)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2026-03-06T11:48:51Z</dcterms:created>
  <dcterms:modified xsi:type="dcterms:W3CDTF">2026-03-06T11:48:51Z</dcterms:modified>
</cp:coreProperties>
</file>